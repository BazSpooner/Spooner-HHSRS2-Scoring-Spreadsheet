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macrosheets/sheet1.xml" ContentType="application/vnd.ms-excel.macro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eastsuffolkgovuk-my.sharepoint.com/personal/baz_spooner_eastsuffolk_gov_uk/Documents/Working Files/HHSRS Scoring Sheet/Revisions/"/>
    </mc:Choice>
  </mc:AlternateContent>
  <xr:revisionPtr revIDLastSave="1" documentId="8_{6F147A23-4B9A-437C-BE51-D8785EB746AD}" xr6:coauthVersionLast="47" xr6:coauthVersionMax="47" xr10:uidLastSave="{2FE033C4-392C-4AD9-BDCB-24E6E25BBDDA}"/>
  <workbookProtection workbookAlgorithmName="SHA-512" workbookHashValue="l+rAoKLbLrZe/cpNHm5NV7mdpW4TNIxBWH8zviQDxuKhl8Ld9jjwuCWlNFkHccw3ZnaoRRue+oI/fQsP2ZBP8A==" workbookSaltValue="Fvyd6epmYrzxSZeL2441NQ==" workbookSpinCount="100000" lockStructure="1"/>
  <bookViews>
    <workbookView xWindow="-28920" yWindow="-120" windowWidth="29040" windowHeight="15720" xr2:uid="{824CB12C-F74B-40D4-ABCB-36459611A98C}"/>
  </bookViews>
  <sheets>
    <sheet name="Front Sheet HHSRS Revision BSv1" sheetId="1" r:id="rId1"/>
    <sheet name="Hazard Data" sheetId="6" r:id="rId2"/>
    <sheet name="Helper Cells" sheetId="2" state="hidden" r:id="rId3"/>
    <sheet name="Relevant Matter Text" sheetId="3" state="hidden" r:id="rId4"/>
    <sheet name="Baseline Indicators" sheetId="7" state="hidden" r:id="rId5"/>
    <sheet name="Guidance Notes" sheetId="8" state="hidden" r:id="rId6"/>
    <sheet name="TBC" sheetId="9" state="hidden" r:id="rId7"/>
    <sheet name=" " sheetId="4" state="hidden" r:id="rId8"/>
  </sheets>
  <functionGroups builtInGroupCount="19"/>
  <definedNames>
    <definedName name="_xleta.IF" hidden="1" xlm="1">#NAME?</definedName>
    <definedName name="_xleta.SUM" hidden="1" xlm="1">#NAME?</definedName>
    <definedName name="_xleta.XLOOKUP" hidden="1" xlm="1">#NAME?</definedName>
    <definedName name="_xlnm.Print_Area" localSheetId="0">'Front Sheet HHSRS Revision BSv1'!$A$1:$V$195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83" i="1" l="1" a="1"/>
  <c r="N183" i="1" s="1"/>
  <c r="L183" i="1" a="1"/>
  <c r="L183" i="1" s="1"/>
  <c r="I1" i="1"/>
  <c r="A84" i="1" l="1" a="1"/>
  <c r="A84" i="1" s="1"/>
  <c r="B84" i="1" s="1"/>
  <c r="A85" i="1" a="1"/>
  <c r="A85" i="1" s="1"/>
  <c r="B85" i="1" s="1"/>
  <c r="O146" i="1" l="1" a="1"/>
  <c r="O146" i="1" s="1"/>
  <c r="O142" i="1" s="1" a="1"/>
  <c r="O142" i="1" s="1"/>
  <c r="A69" i="1" a="1"/>
  <c r="A69" i="1" s="1"/>
  <c r="B69" i="1" s="1"/>
  <c r="A70" i="1" a="1"/>
  <c r="A70" i="1" s="1"/>
  <c r="B70" i="1" s="1"/>
  <c r="A71" i="1" a="1"/>
  <c r="A71" i="1" s="1"/>
  <c r="B71" i="1" s="1"/>
  <c r="O47" i="1"/>
  <c r="O150" i="1" l="1" a="1"/>
  <c r="O150" i="1" s="1"/>
  <c r="E114" i="1" a="1"/>
  <c r="E114" i="1" s="1"/>
  <c r="A52" i="1" a="1"/>
  <c r="A52" i="1" s="1"/>
  <c r="B52" i="1" s="1"/>
  <c r="A53" i="1" a="1"/>
  <c r="A53" i="1" s="1"/>
  <c r="B53" i="1" s="1"/>
  <c r="A54" i="1" a="1"/>
  <c r="A54" i="1" s="1"/>
  <c r="B54" i="1" s="1"/>
  <c r="A55" i="1" a="1"/>
  <c r="A55" i="1" s="1"/>
  <c r="B55" i="1" s="1"/>
  <c r="A56" i="1" a="1"/>
  <c r="A56" i="1" s="1"/>
  <c r="B56" i="1" s="1"/>
  <c r="A57" i="1" a="1"/>
  <c r="A57" i="1" s="1"/>
  <c r="B57" i="1" s="1"/>
  <c r="A58" i="1" a="1"/>
  <c r="A58" i="1" s="1"/>
  <c r="B58" i="1" s="1"/>
  <c r="A59" i="1" a="1"/>
  <c r="A59" i="1" s="1"/>
  <c r="B59" i="1" s="1"/>
  <c r="A60" i="1" a="1"/>
  <c r="A60" i="1" s="1"/>
  <c r="B60" i="1" s="1"/>
  <c r="A61" i="1" a="1"/>
  <c r="A61" i="1" s="1"/>
  <c r="B61" i="1" s="1"/>
  <c r="A62" i="1" a="1"/>
  <c r="A62" i="1" s="1"/>
  <c r="B62" i="1" s="1"/>
  <c r="A63" i="1" a="1"/>
  <c r="A63" i="1" s="1"/>
  <c r="B63" i="1" s="1"/>
  <c r="A64" i="1" a="1"/>
  <c r="A64" i="1" s="1"/>
  <c r="B64" i="1" s="1"/>
  <c r="A65" i="1" a="1"/>
  <c r="A65" i="1" s="1"/>
  <c r="B65" i="1" s="1"/>
  <c r="A66" i="1" a="1"/>
  <c r="A66" i="1" s="1"/>
  <c r="B66" i="1" s="1"/>
  <c r="A67" i="1" a="1"/>
  <c r="A67" i="1" s="1"/>
  <c r="B67" i="1" s="1"/>
  <c r="A68" i="1" a="1"/>
  <c r="A68" i="1" s="1"/>
  <c r="B68" i="1" s="1"/>
  <c r="A72" i="1" a="1"/>
  <c r="A72" i="1" s="1"/>
  <c r="B72" i="1" s="1"/>
  <c r="A73" i="1" a="1"/>
  <c r="A73" i="1" s="1"/>
  <c r="B73" i="1" s="1"/>
  <c r="A74" i="1" a="1"/>
  <c r="A74" i="1" s="1"/>
  <c r="B74" i="1" s="1"/>
  <c r="A75" i="1" a="1"/>
  <c r="A75" i="1" s="1"/>
  <c r="B75" i="1" s="1"/>
  <c r="A76" i="1" a="1"/>
  <c r="A76" i="1" s="1"/>
  <c r="B76" i="1" s="1"/>
  <c r="A77" i="1" a="1"/>
  <c r="A77" i="1" s="1"/>
  <c r="B77" i="1" s="1"/>
  <c r="A78" i="1" a="1"/>
  <c r="A78" i="1" s="1"/>
  <c r="B78" i="1" s="1"/>
  <c r="A79" i="1" a="1"/>
  <c r="A79" i="1" s="1"/>
  <c r="B79" i="1" s="1"/>
  <c r="A80" i="1" a="1"/>
  <c r="A80" i="1" s="1"/>
  <c r="B80" i="1" s="1"/>
  <c r="A81" i="1" a="1"/>
  <c r="A81" i="1" s="1"/>
  <c r="B81" i="1" s="1"/>
  <c r="A82" i="1" a="1"/>
  <c r="A82" i="1" s="1"/>
  <c r="B82" i="1" s="1"/>
  <c r="A83" i="1" a="1"/>
  <c r="A83" i="1" s="1"/>
  <c r="B83" i="1" s="1"/>
  <c r="A51" i="1" a="1"/>
  <c r="A51" i="1" s="1"/>
  <c r="B51" i="1" s="1"/>
  <c r="A50" i="1" a="1"/>
  <c r="A50" i="1" s="1"/>
  <c r="B50" i="1" s="1"/>
  <c r="O134" i="1" a="1"/>
  <c r="O134" i="1" s="1"/>
  <c r="L134" i="1" a="1"/>
  <c r="L134" i="1" s="1"/>
  <c r="I134" i="1" a="1"/>
  <c r="I134" i="1" s="1"/>
  <c r="F134" i="1" a="1"/>
  <c r="F134" i="1" s="1"/>
  <c r="O151" i="1" l="1"/>
  <c r="O154" i="1" a="1"/>
  <c r="O154" i="1" s="1"/>
  <c r="M182" i="1"/>
  <c r="J183" i="1" a="1"/>
  <c r="J183" i="1" s="1"/>
  <c r="K182" i="1"/>
  <c r="F179" i="1" a="1"/>
  <c r="F179" i="1" s="1"/>
  <c r="E178" i="1" s="1"/>
  <c r="F1" i="1"/>
  <c r="A86" i="1" s="1"/>
  <c r="C150" i="1" l="1"/>
  <c r="B150" i="1"/>
  <c r="H150" i="1"/>
  <c r="D150" i="1"/>
  <c r="E150" i="1"/>
  <c r="F150" i="1"/>
  <c r="A150" i="1"/>
  <c r="G150" i="1"/>
  <c r="I150" i="1"/>
  <c r="J150" i="1"/>
  <c r="K150" i="1"/>
  <c r="I182" i="1"/>
  <c r="P183" i="1" a="1"/>
  <c r="P183" i="1" s="1"/>
  <c r="O182" i="1" s="1"/>
  <c r="U323" i="2"/>
  <c r="U312" i="2"/>
  <c r="U307" i="2"/>
  <c r="U296" i="2"/>
  <c r="U280" i="2"/>
  <c r="U275" i="2"/>
  <c r="U264" i="2"/>
  <c r="U259" i="2"/>
  <c r="U248" i="2"/>
  <c r="U243" i="2"/>
  <c r="U232" i="2"/>
  <c r="U227" i="2"/>
  <c r="U216" i="2"/>
  <c r="U211" i="2"/>
  <c r="U200" i="2"/>
  <c r="U195" i="2"/>
  <c r="U184" i="2"/>
  <c r="U179" i="2"/>
  <c r="U168" i="2"/>
  <c r="U163" i="2"/>
  <c r="U144" i="2"/>
  <c r="U139" i="2"/>
  <c r="U128" i="2"/>
  <c r="U123" i="2"/>
  <c r="U112" i="2"/>
  <c r="U107" i="2"/>
  <c r="U11" i="2"/>
  <c r="N2" i="2" a="1"/>
  <c r="N2" i="2" s="1"/>
  <c r="A25" i="2"/>
  <c r="H20" i="1"/>
  <c r="F112" i="1" s="1"/>
  <c r="D22" i="1"/>
  <c r="E137" i="1" l="1" a="1"/>
  <c r="E137" i="1" s="1"/>
  <c r="M146" i="1"/>
  <c r="D21" i="1" l="1"/>
  <c r="AF23" i="2" l="1"/>
  <c r="O147" i="1"/>
  <c r="F115" i="1" a="1"/>
  <c r="F115" i="1" s="1"/>
  <c r="L135" i="1" a="1"/>
  <c r="L135" i="1" s="1"/>
  <c r="O115" i="1" a="1"/>
  <c r="O115" i="1" s="1"/>
  <c r="U313" i="2"/>
  <c r="U314" i="2"/>
  <c r="U315" i="2"/>
  <c r="U316" i="2"/>
  <c r="U317" i="2"/>
  <c r="U318" i="2"/>
  <c r="U319" i="2"/>
  <c r="U320" i="2"/>
  <c r="U321" i="2"/>
  <c r="U322" i="2"/>
  <c r="U324" i="2"/>
  <c r="U325" i="2"/>
  <c r="U326" i="2"/>
  <c r="U327" i="2"/>
  <c r="U297" i="2"/>
  <c r="U298" i="2"/>
  <c r="U299" i="2"/>
  <c r="U300" i="2"/>
  <c r="U301" i="2"/>
  <c r="U302" i="2"/>
  <c r="U303" i="2"/>
  <c r="U304" i="2"/>
  <c r="U305" i="2"/>
  <c r="U306" i="2"/>
  <c r="U308" i="2"/>
  <c r="U309" i="2"/>
  <c r="U310" i="2"/>
  <c r="U311" i="2"/>
  <c r="U281" i="2"/>
  <c r="U282" i="2"/>
  <c r="U283" i="2"/>
  <c r="U284" i="2"/>
  <c r="U285" i="2"/>
  <c r="U286" i="2"/>
  <c r="U287" i="2"/>
  <c r="U288" i="2"/>
  <c r="U289" i="2"/>
  <c r="U290" i="2"/>
  <c r="U291" i="2"/>
  <c r="U292" i="2"/>
  <c r="U293" i="2"/>
  <c r="U294" i="2"/>
  <c r="U295" i="2"/>
  <c r="U265" i="2"/>
  <c r="U266" i="2"/>
  <c r="U267" i="2"/>
  <c r="U268" i="2"/>
  <c r="U269" i="2"/>
  <c r="U270" i="2"/>
  <c r="U271" i="2"/>
  <c r="U272" i="2"/>
  <c r="U273" i="2"/>
  <c r="U274" i="2"/>
  <c r="U276" i="2"/>
  <c r="U277" i="2"/>
  <c r="U278" i="2"/>
  <c r="U279" i="2"/>
  <c r="U249" i="2"/>
  <c r="U250" i="2"/>
  <c r="U251" i="2"/>
  <c r="U252" i="2"/>
  <c r="U253" i="2"/>
  <c r="U254" i="2"/>
  <c r="U255" i="2"/>
  <c r="U256" i="2"/>
  <c r="U257" i="2"/>
  <c r="U258" i="2"/>
  <c r="U260" i="2"/>
  <c r="U261" i="2"/>
  <c r="U262" i="2"/>
  <c r="U263" i="2"/>
  <c r="U233" i="2"/>
  <c r="U234" i="2"/>
  <c r="U235" i="2"/>
  <c r="U236" i="2"/>
  <c r="U237" i="2"/>
  <c r="U238" i="2"/>
  <c r="U239" i="2"/>
  <c r="U240" i="2"/>
  <c r="U241" i="2"/>
  <c r="U242" i="2"/>
  <c r="U244" i="2"/>
  <c r="U245" i="2"/>
  <c r="U246" i="2"/>
  <c r="U247" i="2"/>
  <c r="U217" i="2"/>
  <c r="U218" i="2"/>
  <c r="U219" i="2"/>
  <c r="U220" i="2"/>
  <c r="U221" i="2"/>
  <c r="U222" i="2"/>
  <c r="U223" i="2"/>
  <c r="U224" i="2"/>
  <c r="U225" i="2"/>
  <c r="U226" i="2"/>
  <c r="U228" i="2"/>
  <c r="U229" i="2"/>
  <c r="U230" i="2"/>
  <c r="U231" i="2"/>
  <c r="U98" i="2"/>
  <c r="U99" i="2"/>
  <c r="U100" i="2"/>
  <c r="U101" i="2"/>
  <c r="U102" i="2"/>
  <c r="U103" i="2"/>
  <c r="U104" i="2"/>
  <c r="U105" i="2"/>
  <c r="U106" i="2"/>
  <c r="U108" i="2"/>
  <c r="U109" i="2"/>
  <c r="U110" i="2"/>
  <c r="U111" i="2"/>
  <c r="U113" i="2"/>
  <c r="U114" i="2"/>
  <c r="U115" i="2"/>
  <c r="U116" i="2"/>
  <c r="U117" i="2"/>
  <c r="U118" i="2"/>
  <c r="U119" i="2"/>
  <c r="U120" i="2"/>
  <c r="U121" i="2"/>
  <c r="U122" i="2"/>
  <c r="U124" i="2"/>
  <c r="U125" i="2"/>
  <c r="U126" i="2"/>
  <c r="U127" i="2"/>
  <c r="U129" i="2"/>
  <c r="U130" i="2"/>
  <c r="U131" i="2"/>
  <c r="U132" i="2"/>
  <c r="U133" i="2"/>
  <c r="U134" i="2"/>
  <c r="U135" i="2"/>
  <c r="U136" i="2"/>
  <c r="U137" i="2"/>
  <c r="U138" i="2"/>
  <c r="U140" i="2"/>
  <c r="U141" i="2"/>
  <c r="U142" i="2"/>
  <c r="U143" i="2"/>
  <c r="U145" i="2"/>
  <c r="U146" i="2"/>
  <c r="U147" i="2"/>
  <c r="U148" i="2"/>
  <c r="U149" i="2"/>
  <c r="U150" i="2"/>
  <c r="U151" i="2"/>
  <c r="U152" i="2"/>
  <c r="U153" i="2"/>
  <c r="U154" i="2"/>
  <c r="U155" i="2"/>
  <c r="U156" i="2"/>
  <c r="U157" i="2"/>
  <c r="U158" i="2"/>
  <c r="U159" i="2"/>
  <c r="U160" i="2"/>
  <c r="U161" i="2"/>
  <c r="U162" i="2"/>
  <c r="U164" i="2"/>
  <c r="U165" i="2"/>
  <c r="U166" i="2"/>
  <c r="U167" i="2"/>
  <c r="U169" i="2"/>
  <c r="U170" i="2"/>
  <c r="U171" i="2"/>
  <c r="U172" i="2"/>
  <c r="U173" i="2"/>
  <c r="U174" i="2"/>
  <c r="U175" i="2"/>
  <c r="U176" i="2"/>
  <c r="U177" i="2"/>
  <c r="U178" i="2"/>
  <c r="U180" i="2"/>
  <c r="U181" i="2"/>
  <c r="U182" i="2"/>
  <c r="U183" i="2"/>
  <c r="U185" i="2"/>
  <c r="U186" i="2"/>
  <c r="U187" i="2"/>
  <c r="U188" i="2"/>
  <c r="U189" i="2"/>
  <c r="U190" i="2"/>
  <c r="U191" i="2"/>
  <c r="U192" i="2"/>
  <c r="U193" i="2"/>
  <c r="U194" i="2"/>
  <c r="U196" i="2"/>
  <c r="U197" i="2"/>
  <c r="U198" i="2"/>
  <c r="U199" i="2"/>
  <c r="U201" i="2"/>
  <c r="U202" i="2"/>
  <c r="U203" i="2"/>
  <c r="U204" i="2"/>
  <c r="U205" i="2"/>
  <c r="U206" i="2"/>
  <c r="U207" i="2"/>
  <c r="U208" i="2"/>
  <c r="U209" i="2"/>
  <c r="U210" i="2"/>
  <c r="U212" i="2"/>
  <c r="U213" i="2"/>
  <c r="U214" i="2"/>
  <c r="U215" i="2"/>
  <c r="U97" i="2"/>
  <c r="U1" i="2"/>
  <c r="U2" i="2"/>
  <c r="U3" i="2"/>
  <c r="U4" i="2"/>
  <c r="U5" i="2"/>
  <c r="U6" i="2"/>
  <c r="U7" i="2"/>
  <c r="U8" i="2"/>
  <c r="U9" i="2"/>
  <c r="U10" i="2"/>
  <c r="U12" i="2"/>
  <c r="U13" i="2"/>
  <c r="U14" i="2"/>
  <c r="U15" i="2"/>
  <c r="N118" i="1" l="1"/>
  <c r="O155" i="1" a="1"/>
  <c r="O155" i="1" s="1"/>
  <c r="O143" i="1"/>
  <c r="C142" i="1" s="1"/>
  <c r="B146" i="1"/>
  <c r="F146" i="1"/>
  <c r="D146" i="1"/>
  <c r="A146" i="1"/>
  <c r="K146" i="1"/>
  <c r="C146" i="1"/>
  <c r="J146" i="1"/>
  <c r="I146" i="1"/>
  <c r="E146" i="1"/>
  <c r="H146" i="1"/>
  <c r="G146" i="1"/>
  <c r="AF20" i="2"/>
  <c r="AF17" i="2"/>
  <c r="B118" i="1"/>
  <c r="C118" i="1"/>
  <c r="O118" i="1"/>
  <c r="D118" i="1"/>
  <c r="P118" i="1"/>
  <c r="E118" i="1"/>
  <c r="A118" i="1"/>
  <c r="F118" i="1"/>
  <c r="G118" i="1"/>
  <c r="H118" i="1"/>
  <c r="I118" i="1"/>
  <c r="J118" i="1"/>
  <c r="K118" i="1"/>
  <c r="L118" i="1"/>
  <c r="M118" i="1"/>
  <c r="AB27" i="2"/>
  <c r="AB24" i="2"/>
  <c r="AH23" i="2" s="1"/>
  <c r="AB21" i="2"/>
  <c r="AB18" i="2"/>
  <c r="J20" i="2"/>
  <c r="J23" i="2"/>
  <c r="J21" i="2"/>
  <c r="J22" i="2"/>
  <c r="M150" i="1"/>
  <c r="K24" i="2" l="1"/>
  <c r="L193" i="1" s="1"/>
  <c r="A142" i="1"/>
  <c r="J142" i="1"/>
  <c r="K142" i="1"/>
  <c r="G142" i="1"/>
  <c r="B142" i="1"/>
  <c r="I142" i="1"/>
  <c r="F142" i="1"/>
  <c r="E142" i="1"/>
  <c r="H142" i="1"/>
  <c r="D142" i="1"/>
  <c r="AF26" i="2"/>
  <c r="AH26" i="2" s="1"/>
  <c r="AH20" i="2"/>
  <c r="AH17" i="2"/>
  <c r="B193" i="1"/>
  <c r="B183" i="1" s="1"/>
  <c r="A154" i="1"/>
  <c r="M154" i="1"/>
  <c r="O135" i="1" a="1"/>
  <c r="O135" i="1" s="1"/>
  <c r="I135" i="1" a="1"/>
  <c r="I135" i="1" s="1"/>
  <c r="F135" i="1" a="1"/>
  <c r="F135" i="1" s="1"/>
  <c r="M142" i="1"/>
  <c r="H27" i="2" l="1"/>
  <c r="AI29" i="2"/>
  <c r="L171" i="1" s="1"/>
  <c r="H154" i="1"/>
  <c r="I154" i="1"/>
  <c r="J154" i="1"/>
  <c r="K154" i="1"/>
  <c r="B154" i="1"/>
  <c r="C154" i="1"/>
  <c r="D154" i="1"/>
  <c r="E154" i="1"/>
  <c r="F154" i="1"/>
  <c r="G154" i="1"/>
  <c r="B171" i="1"/>
  <c r="C183" i="1" s="1"/>
  <c r="G193" i="1"/>
  <c r="L5" i="1" l="1"/>
  <c r="B5" i="1"/>
  <c r="G171" i="1"/>
  <c r="G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Baz Spooner</author>
  </authors>
  <commentList>
    <comment ref="L9" authorId="0" shapeId="0" xr:uid="{DC53384A-3AA5-4CA4-81D9-064D862348C5}">
      <text>
        <r>
          <rPr>
            <b/>
            <sz val="9"/>
            <color indexed="81"/>
            <rFont val="Tahoma"/>
            <family val="2"/>
          </rPr>
          <t>Baz Spooner:</t>
        </r>
        <r>
          <rPr>
            <sz val="9"/>
            <color indexed="81"/>
            <rFont val="Tahoma"/>
            <family val="2"/>
          </rPr>
          <t xml:space="preserve">
MOST IMPORTANT CELL!!
Hazards cannot be stored without this being entered.</t>
        </r>
      </text>
    </comment>
    <comment ref="D20" authorId="0" shapeId="0" xr:uid="{DD96F912-767D-4DCD-9C10-C8A996E0A326}">
      <text>
        <r>
          <rPr>
            <b/>
            <sz val="9"/>
            <color indexed="81"/>
            <rFont val="Tahoma"/>
            <family val="2"/>
          </rPr>
          <t>Baz Spooner:</t>
        </r>
        <r>
          <rPr>
            <sz val="9"/>
            <color indexed="81"/>
            <rFont val="Tahoma"/>
            <family val="2"/>
          </rPr>
          <t xml:space="preserve">
1   Falls on Level
2  Falling on Stairs etc
3  Falling Between Levels
4  Fire and Explosions
5  Flames, Hot Surfaces, etc
6  Collision, Entrapment and Ergonomics
7  Structural Collapse and Falling Elements
8  Electrical Hazards
9  Excess Cold
10  Radiation
11  Damp and Mould Growth
12  Lead
13  Indoor Air Pollutants
14  Excess Heat
15  Asbestos and Manufactured Mineral Fibres
16  Domestic Hygiene
17  Water Supply
18  Crowding and Space
19  Entry by Intruders
20  Noise
21  Lighting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<sst xmlns="http://schemas.openxmlformats.org/spreadsheetml/2006/main" count="1216" uniqueCount="783">
  <si>
    <t>Hazard Number</t>
  </si>
  <si>
    <t>Hazard Title</t>
  </si>
  <si>
    <t>Vulnerable Group</t>
  </si>
  <si>
    <t>Additional Notes</t>
  </si>
  <si>
    <t>BCC</t>
  </si>
  <si>
    <t>LIKELIHOOD ASSESSMENT</t>
  </si>
  <si>
    <t>National average likelihood (Auto):    1  in</t>
  </si>
  <si>
    <t>Actual case likelihood:      1  in</t>
  </si>
  <si>
    <t>Very unlikley</t>
  </si>
  <si>
    <t>Unlikley</t>
  </si>
  <si>
    <t>Likely</t>
  </si>
  <si>
    <t>Very Likely</t>
  </si>
  <si>
    <t>1 in 3000</t>
  </si>
  <si>
    <t>1 in 1000</t>
  </si>
  <si>
    <t>1 in 500</t>
  </si>
  <si>
    <t>1 in 300</t>
  </si>
  <si>
    <t>1 in 200</t>
  </si>
  <si>
    <t>1 in 100</t>
  </si>
  <si>
    <t>1 in 50</t>
  </si>
  <si>
    <t>1 in 30</t>
  </si>
  <si>
    <t>1 in 20</t>
  </si>
  <si>
    <t>1 in 10</t>
  </si>
  <si>
    <t>1 in 5</t>
  </si>
  <si>
    <t>1 in 3</t>
  </si>
  <si>
    <t>1 in 2</t>
  </si>
  <si>
    <t>1 in 1</t>
  </si>
  <si>
    <t>National average outcomes:</t>
  </si>
  <si>
    <t>Class 1</t>
  </si>
  <si>
    <t>Class 2</t>
  </si>
  <si>
    <t>Class 3</t>
  </si>
  <si>
    <t>Class 4</t>
  </si>
  <si>
    <t>Falls on Level</t>
  </si>
  <si>
    <t>60 years and over</t>
  </si>
  <si>
    <t>Falling on Stairs etc</t>
  </si>
  <si>
    <t>Falling Between Levels</t>
  </si>
  <si>
    <t>5 years and under</t>
  </si>
  <si>
    <t>Fire and Explosions</t>
  </si>
  <si>
    <t>Flames, Hot Surfaces, etc</t>
  </si>
  <si>
    <t>Collision, Entrapment and Ergonomics</t>
  </si>
  <si>
    <t>All ages</t>
  </si>
  <si>
    <t>Structural Collapse and Falling Elements</t>
  </si>
  <si>
    <t>Electrical Hazards</t>
  </si>
  <si>
    <t>Excess Cold</t>
  </si>
  <si>
    <t>65 years and over</t>
  </si>
  <si>
    <t>Radiation</t>
  </si>
  <si>
    <t>60-64 years following lifetime exposure to radon gas</t>
  </si>
  <si>
    <t>Damp and Mould Growth</t>
  </si>
  <si>
    <t>14 years and under</t>
  </si>
  <si>
    <t>Lead</t>
  </si>
  <si>
    <t>3 years and under</t>
  </si>
  <si>
    <t>Indoor Air Pollutants</t>
  </si>
  <si>
    <t>Excess Heat</t>
  </si>
  <si>
    <t>Asbestos and Manufactured Mineral Fibres</t>
  </si>
  <si>
    <t>Domestic Hygiene</t>
  </si>
  <si>
    <t>Water Supply</t>
  </si>
  <si>
    <t>Crowding and Space</t>
  </si>
  <si>
    <t>Entry by Intruders</t>
  </si>
  <si>
    <t>Noise</t>
  </si>
  <si>
    <t>Lighting</t>
  </si>
  <si>
    <t>All Dwellings</t>
  </si>
  <si>
    <t>Non-HMO Pre-1920</t>
  </si>
  <si>
    <t>Non-HMO 1920-45</t>
  </si>
  <si>
    <t>Non-HMO 1946-79</t>
  </si>
  <si>
    <t>Non-HMO Post-1979</t>
  </si>
  <si>
    <t>HMO Only</t>
  </si>
  <si>
    <t>HMO Pre-1920</t>
  </si>
  <si>
    <t>HMO 1920-45</t>
  </si>
  <si>
    <t>HMO 1946-79</t>
  </si>
  <si>
    <t>HMO Post-1979</t>
  </si>
  <si>
    <t>Flats Pre-1920</t>
  </si>
  <si>
    <t>Flats 1920-45</t>
  </si>
  <si>
    <t>Flats 1946-79</t>
  </si>
  <si>
    <t>Flats Post-1979</t>
  </si>
  <si>
    <t>1 in 5000</t>
  </si>
  <si>
    <t>Display</t>
  </si>
  <si>
    <t>Numerical</t>
  </si>
  <si>
    <t>Very Unlikely</t>
  </si>
  <si>
    <t>Unlikely</t>
  </si>
  <si>
    <t>Weighting</t>
  </si>
  <si>
    <t>Likelihood</t>
  </si>
  <si>
    <t>Class of Harm %</t>
  </si>
  <si>
    <t>Product</t>
  </si>
  <si>
    <t>Actual National Average Values</t>
  </si>
  <si>
    <t>Actual Case Values</t>
  </si>
  <si>
    <t>Figure to be used for Calculation</t>
  </si>
  <si>
    <t>ÚÚÚÚÚ</t>
  </si>
  <si>
    <t>National Average Hazard Score:</t>
  </si>
  <si>
    <t>X</t>
  </si>
  <si>
    <t>=</t>
  </si>
  <si>
    <t>Hazard Score</t>
  </si>
  <si>
    <t>Hazard Rating Score</t>
  </si>
  <si>
    <t>Hazard Band</t>
  </si>
  <si>
    <t>Category 1</t>
  </si>
  <si>
    <t>Hazard Category</t>
  </si>
  <si>
    <t>Band J</t>
  </si>
  <si>
    <t>Band I</t>
  </si>
  <si>
    <t>Band H</t>
  </si>
  <si>
    <t>Band A</t>
  </si>
  <si>
    <t>Band B</t>
  </si>
  <si>
    <t>Band C</t>
  </si>
  <si>
    <t>Band D</t>
  </si>
  <si>
    <t>Band E</t>
  </si>
  <si>
    <t>Band F</t>
  </si>
  <si>
    <t>Band G</t>
  </si>
  <si>
    <t>Band</t>
  </si>
  <si>
    <t>Lower bound</t>
  </si>
  <si>
    <t xml:space="preserve">New likelihood:                1 in </t>
  </si>
  <si>
    <t>RSP</t>
  </si>
  <si>
    <t>New outcomes (%):</t>
  </si>
  <si>
    <t>JUSTIFICATION:</t>
  </si>
  <si>
    <t>Class 1 Improvement</t>
  </si>
  <si>
    <t>Class 2 Improvement</t>
  </si>
  <si>
    <t>Class 3 Improvement</t>
  </si>
  <si>
    <t>Class 4 Improvement</t>
  </si>
  <si>
    <t>Council Flat Haz 19</t>
  </si>
  <si>
    <t xml:space="preserve">Surface/liquid temperature  - the temperature of the hot liquid or surface </t>
  </si>
  <si>
    <t>Exposure  - the length of time exposure is expected</t>
  </si>
  <si>
    <t>Postcode:</t>
  </si>
  <si>
    <t>Secondary Vulnerable Group</t>
  </si>
  <si>
    <t>Secondary</t>
  </si>
  <si>
    <t>Children up to 15 years, persons with disabilities or visual impairment, and those living alone</t>
  </si>
  <si>
    <t xml:space="preserve">Young children, persons with disabilities or visual impairment, and those living alone.  </t>
  </si>
  <si>
    <t xml:space="preserve">Young adults, those misusing drugs or alcohol and those with learning difficulties or mental ill-health. Older people are less likely but suffer more severe outcomes.  </t>
  </si>
  <si>
    <t xml:space="preserve">Single parent households, children, those who drink and/or smoke, 16-25 year olds including students, those living alone and persons with disabilities or sensory impairments. </t>
  </si>
  <si>
    <t>Older people, those with pre-existing disabilities or health conditions, households on low incomes and ethnic minorities.</t>
  </si>
  <si>
    <t>Variation in treads or risers – dimensional variation producing an uneven pitch.</t>
  </si>
  <si>
    <t>Nosing length – projecting more than 25mm</t>
  </si>
  <si>
    <t>Lack of handrails – the absence to both sides of the staircase.</t>
  </si>
  <si>
    <t xml:space="preserve">Grip on handrails – difficulty grasping handrails due to shape, position or surface finish. </t>
  </si>
  <si>
    <t xml:space="preserve">Lack of guarding – the absence of guarding where there is no wall to both sides of the staircase or deficiencies with guarding. </t>
  </si>
  <si>
    <t xml:space="preserve">Length of flight – long flights may increase the likelihood of a fall. </t>
  </si>
  <si>
    <t>Glare from lighting – whether natural or artificial</t>
  </si>
  <si>
    <t>Poor differentiation of nosings due to low light and/or the colour/pattern of the stair coverings.</t>
  </si>
  <si>
    <t xml:space="preserve">Door(s) onto stairs – doors opening directly onto the stairs. </t>
  </si>
  <si>
    <t>Handrail(s) on slopes – lack of adequate handrail(s) to aid safe movement on sloping ground.</t>
  </si>
  <si>
    <t>Length of flight – long flights increase the severity of the outcome.</t>
  </si>
  <si>
    <t>Pitch of stairs – stairs which are of above average steepness or shallowness.</t>
  </si>
  <si>
    <t>Projections, etc. – the presence of sharp edges, heating installations, glass, etc. around the stairs or at the foot of the flight which may be struck when falling.</t>
  </si>
  <si>
    <t>Hard surfaces – unforgiving surfaces around the flight.</t>
  </si>
  <si>
    <t>Tread Lengths - Outside the dimensions specified in Building Regs App. Doc. K (Between 220-300mm in private residence)</t>
  </si>
  <si>
    <t>Riser Heights - Outside the dimensions specified in Building Regs App. Doc. K (Between 150-220mm in private residence)</t>
  </si>
  <si>
    <t>Inadequate drainage – of surface water from the path or yard.</t>
  </si>
  <si>
    <t>Inadequate space – for the carrying out of appropriate tasks and manoeuvres.</t>
  </si>
  <si>
    <t>Poor lighting or glare – both artificial and natural.</t>
  </si>
  <si>
    <t>Raised thresholds – raised thresholds or small changes in level at external doors.</t>
  </si>
  <si>
    <t>Poor friction – of the internal surface of a bath or shower.</t>
  </si>
  <si>
    <t>Siting of taps, wastes, light switches and other controls– inappropriate siting increasing the risk of falls.</t>
  </si>
  <si>
    <t>Handles and grab rails – lack of, or insecurely fitted.</t>
  </si>
  <si>
    <t>Unstable appliance – unstable fitting of bath, shower, WC basin, or wash hand basin.</t>
  </si>
  <si>
    <t>Hard surfaces – unforgiving or abrasive surface to the floor, path or yard.</t>
  </si>
  <si>
    <t>Projections etc. – the presence of sharp edges, heat producing appliances, or glass, in the area where a fall might occur or where a person may lie following a fall.</t>
  </si>
  <si>
    <t>Nature of area – type of the activities which will be undertaken in the area where a fall might occur.</t>
  </si>
  <si>
    <t>Inadequate space – functional space and space between appliances.</t>
  </si>
  <si>
    <t>Ease of window operation – degree of difficulty to use window catches and opening lights missing/defective catches.</t>
  </si>
  <si>
    <t>Sill heights – less than 1,100mm above floor level and/or lack of safety glass or guarding.</t>
  </si>
  <si>
    <t>Ease of cleaning – outer surfaces that are difficult to clean.</t>
  </si>
  <si>
    <t>Guarding on windows – lack of guarding to protect low windows or guarding which can be easily scaled by children</t>
  </si>
  <si>
    <t>Height above ground – the distance of a fall to the ground or next level.</t>
  </si>
  <si>
    <t>Nature of ground – the nature of the surface and any features which may be collided with.</t>
  </si>
  <si>
    <t>Non-safety glass - the lack of safety glass where appropriate in the window or guarding.</t>
  </si>
  <si>
    <t>Electrical sources of ignition, in addition to the requirements set out in baseline indicators, and any apparent defect, should be considered.</t>
  </si>
  <si>
    <t>Arson: consider physical security measures and presence and proximity of static fire loads to the building.</t>
  </si>
  <si>
    <t>Fixed heating: in addition to the provisions detailed in baseline indicators, any apparent defect should be considered.</t>
  </si>
  <si>
    <t>Cooking: consider proximity of cooking appliances to fixed combustible materials (e.g. curtains).</t>
  </si>
  <si>
    <t>Clothes drying facilities – lack of indoor facilities.</t>
  </si>
  <si>
    <t>Inadequate means of escape - dwelling layout, travel distance, operation of exits, obstructions</t>
  </si>
  <si>
    <t>Non-fire resisting fabric – allowing fire to spread.</t>
  </si>
  <si>
    <t>Smoke permeable fabric – allowing smoke to spread.</t>
  </si>
  <si>
    <t>Fire stops to cavities – lack of, allowing fire to spread.</t>
  </si>
  <si>
    <t>Disrepair to fabric – walls, ceilings and/or floors may allow smoke, fumes and/or fire to spread.</t>
  </si>
  <si>
    <t>Internal doors – insufficient doors or doors of inappropriate materials or ill-fitting doors.</t>
  </si>
  <si>
    <t>Self-closers – lack of effective self-closers where appropriate.</t>
  </si>
  <si>
    <t>Artificial lighting – including emergency escape lighting</t>
  </si>
  <si>
    <t>Fire-fighting equipment – lack of adequate and appropriate means of primary firefighting (in most domestic settings, a fire blanket is sufficient)</t>
  </si>
  <si>
    <t>Unauthorised gas supply – the supply of gas from a non-authorised supplier.</t>
  </si>
  <si>
    <t>Siting of gas tanks – inappropriate siting of LPG containers or tanks.</t>
  </si>
  <si>
    <t>Lack of a flame arrest feature (thermocouple) on gas cookers.</t>
  </si>
  <si>
    <t>Ventilation – lack of appropriate means of ventilation, taking account of the type of gas used.</t>
  </si>
  <si>
    <t>Hot water storage tank – tank of greater than 3 gallons (15 litres) connected directly to the mains water supply.</t>
  </si>
  <si>
    <t>Vented hot water system  - inadequately sized and/or blocked vent to system.</t>
  </si>
  <si>
    <t>Unvented hot water system – lack of or defective non self-resetting thermal cut-out and/or temperature relief valve to unvented system.</t>
  </si>
  <si>
    <t>Thermostatic taps – no thermostatically controlled taps or incorrectly set thermostatically controlled mixer taps or anti-scald devices.</t>
  </si>
  <si>
    <t>Kitchen layout – poor layout or inadequate space to kitchen, in particular where cooker or worktop is sited close to a door or thoroughfare.</t>
  </si>
  <si>
    <t>Worktop space by cookers – lack of worktop space next to cookers and on either side of hobs.</t>
  </si>
  <si>
    <t>Inadequate separation – of kitchen from living or sleeping areas.</t>
  </si>
  <si>
    <t>Unprotected hot surfaces – exposed surfaces to fixed appliances or pipework with surface temperatures of 43C or more.</t>
  </si>
  <si>
    <t>Door location – doors opening out into small circulation areas, corridors, landings or staircases.</t>
  </si>
  <si>
    <t>Door closer defects – overly powerful mechanisms.</t>
  </si>
  <si>
    <t>Window design defects – difficult operation of opening lights and window catches.</t>
  </si>
  <si>
    <t>Window location – windows opening across pathways.</t>
  </si>
  <si>
    <t>Glass – lack of safety glass or toughened glass in areas of glass which are vulnerable to impact</t>
  </si>
  <si>
    <t>Glass – large areas of glazing which without markings/surrounds to make them apparent to people moving through the building</t>
  </si>
  <si>
    <t>Low headroom to doors – under 1.9 metres.</t>
  </si>
  <si>
    <t xml:space="preserve">Low headroom or projections – due to attic conversions or other architectural features providing obstacles less than 2100mm from floor level. </t>
  </si>
  <si>
    <t>Position of amenity – inappropriate positioning of a wash hand basin, bath, shower, bidet and/or toilet.</t>
  </si>
  <si>
    <t>Space for amenity – inadequate functional space for the use of amenities.</t>
  </si>
  <si>
    <t>Kitchen worktops – inappropriate positioning of a worktop and/or sink.</t>
  </si>
  <si>
    <t>High level storage – inappropriate siting of a shelf or wall cupboard.</t>
  </si>
  <si>
    <t>Electric switch/sockets/light fittings – inappropriate siting of electric switch and/or socket outlet, or light fittings.</t>
  </si>
  <si>
    <t>Loose fittings or fixtures – loose cupboards or shelves</t>
  </si>
  <si>
    <t>Size/weight of element – the size, weight and nature of the object or element likely to fall.</t>
  </si>
  <si>
    <t xml:space="preserve">Height above ground – the height of the building or of the element above the ground or floor. </t>
  </si>
  <si>
    <t>Fuses and meters – inappropriately sited consumer units and meters.</t>
  </si>
  <si>
    <t>Presence of water – electrical installations in close proximity to water, including areas of damp.</t>
  </si>
  <si>
    <t>Lightning protection system – lack of, or defective system to buildings at significant risk of lightning strikes.</t>
  </si>
  <si>
    <t>Lack of thermostatic radiator valves – enabling temperatures to be varied between rooms.</t>
  </si>
  <si>
    <t>Settling of insulation – compression of the thermal insulating material reducing its effectiveness.</t>
  </si>
  <si>
    <t>Amount of ventilation – inadequate, excessive, or inappropriate provision for thorough ventilation.</t>
  </si>
  <si>
    <t>Ventilation controls – inadequate means of controlling the ventilation.</t>
  </si>
  <si>
    <t>Draughts – uncontrollable draughts and those situated to cause discomfort.</t>
  </si>
  <si>
    <t>Background radon levels – high radon levels in the local area (Affected Area)</t>
  </si>
  <si>
    <t>Timber ground floor – ground floor of suspended timber construction, particularly if without adequate sub-floor ventilation.</t>
  </si>
  <si>
    <t>Disrepair to solid floor – holed, cracked or other disrepair to a solid ground floor.</t>
  </si>
  <si>
    <t>Lack of damp proof membrane – lack of or defective damp proof membrane to solid floor.</t>
  </si>
  <si>
    <t>Sealing around services – inadequate sealing around service entry points, and similar disrepair.</t>
  </si>
  <si>
    <t xml:space="preserve">Ventilation rates – high ventilation rates in the upper levels of the dwelling. </t>
  </si>
  <si>
    <t>Open chimneys – use of open fires, open chimneys and wood burning stoves without additional through-the-wall ventilation.</t>
  </si>
  <si>
    <t>Lack of or disrepair to remedial measures – lack of remedial measures or disrepair to any remedial measures, such as a radon sump or associated fan in areas with high radon levels.</t>
  </si>
  <si>
    <t>Extractor fans – continuous use of extractor fans in kitchens, bathrooms or WCs.</t>
  </si>
  <si>
    <t>Private water supply – particularly if from a borehole or well</t>
  </si>
  <si>
    <t>Energy efficiency – inadequate heating and insulation of the dwelling, poor Energy Performance Certificate rating.</t>
  </si>
  <si>
    <t>Exposed water tanks and pipework – inadequate frost protection.</t>
  </si>
  <si>
    <t>Plumbing and waste pipes – inadequately installed, or disrepair to, waste pipes or plumbing serving water using appliances (such as baths, showers, wash hand basins, bidets and sinks).</t>
  </si>
  <si>
    <t>Roof and sub-floor spaces – inadequate ventilation.</t>
  </si>
  <si>
    <t>Small rooms sizes – may result in high occupant density.</t>
  </si>
  <si>
    <t>Flooding - Dwelling situated in a location prone to flooding.</t>
  </si>
  <si>
    <t>Old paintwork – the presence of old paint likely to contain lead.</t>
  </si>
  <si>
    <t>Disrepair to old paint – damage and/or flaking of old paintwork likely to contain lead</t>
  </si>
  <si>
    <t>Lead pipework – the presence of such pipework for domestic water.</t>
  </si>
  <si>
    <t>Plumbosolvent water – water of high acidity likely to dissolve lead in pipes.</t>
  </si>
  <si>
    <t>Contamination of soil – either through human activity or naturally occurring mineral content of the ground.</t>
  </si>
  <si>
    <t>Siting of appliances – locations adjacent to windows or doors where there is a risk of flames blowing out, allowing continued emission of uncombusted gas where a safety cut-out has not been installed.</t>
  </si>
  <si>
    <t>Gas detector and carbon monoxide detector provision – the lack of correctly sited detectors or defects with those detectors.</t>
  </si>
  <si>
    <t>Flueless appliances – fuel burning appliances, including cookers and heaters.</t>
  </si>
  <si>
    <t>Flue outlet siting – sited adjacent to openable window or vent.</t>
  </si>
  <si>
    <t>Extractor fans – in rooms with open flued appliances.</t>
  </si>
  <si>
    <t>Ventilation lobby – no lobby between a garage and living accommodation, where the garage is used for motor vehicles.</t>
  </si>
  <si>
    <t>VOC emitting materials/treatments – the use of materials/treatments during construction, alteration or maintenance which emit high levels of volatile organic compounds.</t>
  </si>
  <si>
    <t>Use of biocides – particularly in living areas.</t>
  </si>
  <si>
    <t>Dwelling location – close to an external source of air pollution.</t>
  </si>
  <si>
    <t>Thermal mass – building fabric without sufficient thermal mass to effectively regulate temperature fluctuations.</t>
  </si>
  <si>
    <t>Orientation of glazing – large areas of south facing glazing in rooms/dwellings not appropriately designed to handle the passive solar heat gain they produce. Single aspect designs will have higher peak solar gains.</t>
  </si>
  <si>
    <t>Cross ventilation – lack of cross ventilation.</t>
  </si>
  <si>
    <t>External shading – lack of external shading.</t>
  </si>
  <si>
    <t>Dwelling location – where heat levels from the surrounding environment are increased (e.g. urban heat islands, reflection from surrounding buildings) or where external factors inhibit effective ventilation of the structure.</t>
  </si>
  <si>
    <t>Date of construction – housing, particularly flats, built/renovated between 1920 and 1979.</t>
  </si>
  <si>
    <t>Presence of asbestos – particularly in accessible positions.</t>
  </si>
  <si>
    <t>Unsealed asbestos – unsealed asbestos-based materials.</t>
  </si>
  <si>
    <t>Unlabelled asbestos – unlabelled asbestos-based materials.</t>
  </si>
  <si>
    <t>Condition of asbestos – asbestos in a damaged or deteriorated condition.</t>
  </si>
  <si>
    <t>Presence of manufactured mineral fibres – in accessible positions</t>
  </si>
  <si>
    <t>Ventilation of pipes – inadequate ventilation to a soil or waste pipe.</t>
  </si>
  <si>
    <t>Private sewerage system – missing or defective private foul sewage treatment system or private foul sewage storage cistern.</t>
  </si>
  <si>
    <t>Soakaway – missing, defective or badly located soakaway for surface water.</t>
  </si>
  <si>
    <t>Recycling system – defects to greywater or rainwater recycling system</t>
  </si>
  <si>
    <t>WC siting – inappropriate or inconvenient location of a WC.</t>
  </si>
  <si>
    <t>Macerator defects – defective mechanism to a WC.</t>
  </si>
  <si>
    <t>Earth/chemical closet defects – including means of deodorising closets and emptying them from outside the dwelling.</t>
  </si>
  <si>
    <t>Seat/lid to toilet – missing or non-impervious seat and/or lid to a lavatory pan.</t>
  </si>
  <si>
    <t>Ventilation to compartment – inadequate ventilation to the compartment or room housing a toilet.</t>
  </si>
  <si>
    <t>Door to compartment – missing or defective lockable door to the compartment.</t>
  </si>
  <si>
    <t>Design, construction or maintenance deficiencies – access points such as unprotected openings, cracks, gaps and holes and harbourage points created through poor design and/or construction or use of materials vulnerable to gnawing. Improperly terminated drainage pipework allowing rodent access to the building and its curtilage.</t>
  </si>
  <si>
    <t>Lack of access to parts of the structure – inadequate access for treatment and prevention of infestations</t>
  </si>
  <si>
    <t>Open vent pipes – missing guards to drainage vent pipes.</t>
  </si>
  <si>
    <t>Internal and external refuse areas – the lack of, or defects to, any refuse storage space or lack of a clearly defined area for external waste storage containers.</t>
  </si>
  <si>
    <t>Refuse chutes etc. – the lack of, or defects to means of disposal of refuse to each floor of multi-occupied buildings.</t>
  </si>
  <si>
    <t>Disrepair to waste storage facilities – or dampness to the facilities.</t>
  </si>
  <si>
    <t>Inadequate storage - inadequately sized waste bins and storage facilities.</t>
  </si>
  <si>
    <t>Shared facilities – facilities shared by more than one household.</t>
  </si>
  <si>
    <t>Removal of facilities – facilities in furnished dwellings (e.g. fridges) may fall into disrepair or may be removed from the dwelling.</t>
  </si>
  <si>
    <t>Water seals – inadequate water seals to WC basins and/or drainage inlets.</t>
  </si>
  <si>
    <t>Water temperature – water stored at an inappropriate temperature.</t>
  </si>
  <si>
    <t>Defective pipework etc. – inappropriate materials used for pipework, storage tanks, or fittings.</t>
  </si>
  <si>
    <t>Contamination of tanks – inadequate protection against contamination of water storage tanks.</t>
  </si>
  <si>
    <t>Water treatment defects – poor maintenance of water treatment equipment or inadequate provision of water treatment equipment.</t>
  </si>
  <si>
    <t>Water softening system – poor maintenance of water softening system.</t>
  </si>
  <si>
    <t>Living area – lack of living area of an adequate size for the household or potential household.</t>
  </si>
  <si>
    <t>Inadequate provision of amenities – lack of appropriately sited, equipped and sized bathroom(s), kitchen(s) or WC(s).</t>
  </si>
  <si>
    <t>Washing area/WC door – no door to the personal washing area, or lock on door, or glazed door.</t>
  </si>
  <si>
    <t>Number of bedrooms – inadequate number of bedrooms for the household or potential household.</t>
  </si>
  <si>
    <t>Bedroom size – inadequate size of bedrooms for the number of occupiers.</t>
  </si>
  <si>
    <t>Bedroom location – inappropriately sited bedrooms.</t>
  </si>
  <si>
    <t>Recreational space – lack of indoor space and safe outdoor recreational space for children.</t>
  </si>
  <si>
    <t>Location – high level of poverty and crime in the area.</t>
  </si>
  <si>
    <t>Defensible space – both public and private around the dwelling.</t>
  </si>
  <si>
    <t>Lighting – on pedestrian routes to an estate or immediate neighbourhood, or around the dwelling.</t>
  </si>
  <si>
    <t>Pedestrian routes – definition of routes to an estate or immediate neighbourhood.</t>
  </si>
  <si>
    <t>Housing layout – no natural unobtrusive view of neighbouring dwellings</t>
  </si>
  <si>
    <t>Door chains – lack of or broken chains to external doors.</t>
  </si>
  <si>
    <t>Burglar alarms – lack of or defective alarm system.</t>
  </si>
  <si>
    <t>Site of dwelling – located in a particularly noisy environment.</t>
  </si>
  <si>
    <t>Internal arrangement – placing sleeping rooms next to living rooms or other sources of noise either within the dwelling, or due to the position of rooms in multiple occupancy developments such as flats.</t>
  </si>
  <si>
    <t>Floor finishes – producing increased levels of impact noise.</t>
  </si>
  <si>
    <t>Disrepair or construction/design– of windows, doors, floors and walls, etc. which allows increased noise penetration.</t>
  </si>
  <si>
    <t>Siting of plumbing – inappropriate siting of plumbing fittings and/or facilities</t>
  </si>
  <si>
    <t>Equipment – noisy equipment or facilities</t>
  </si>
  <si>
    <t>Door closers – overly powerful mechanisms resulting in banging.</t>
  </si>
  <si>
    <t>Obstruction – of windows by buildings or other features.</t>
  </si>
  <si>
    <t>Size, shape and position – inadequate size, inappropriate shape and/or position of windows preventing reasonable penetration of daylight into the room.</t>
  </si>
  <si>
    <t>Position of artificial lighting – inadequate means and/or inappropriate siting of artificial lighting.</t>
  </si>
  <si>
    <t>Glare etc. – artificial lighting causing glare, shadows, inappropriate light temperature for the environment, poor colour rendering index and/or flickering.</t>
  </si>
  <si>
    <t>Window view – inappropriate shape and/or size of window preventing views of outside.</t>
  </si>
  <si>
    <t>Outlook – lack of reasonable view through living room windows.</t>
  </si>
  <si>
    <t>Smokers, those with pre-existing health conditions or disabilities, those with moderate to high alcohol consumption, the very young and 45-65 year olds.</t>
  </si>
  <si>
    <t>Smokers</t>
  </si>
  <si>
    <t xml:space="preserve">Atopic individuals, those sensitised to microbial pollutants (particularly dust mites), asthmatics, immunocompromised individuals, pregnant women and their unborn foetus.  </t>
  </si>
  <si>
    <t xml:space="preserve">Smokers </t>
  </si>
  <si>
    <t xml:space="preserve">Those who spend most time at home including older people, very young children, those with mobility impairments, their carers and people who work or study from home. Ethnic minorities and those in large urban areas are more likely to live in crowded conditions.  </t>
  </si>
  <si>
    <t xml:space="preserve">Young children, older people, and immuno-compromised individuals. </t>
  </si>
  <si>
    <t xml:space="preserve">Older people, those with pre-existing medical conditions, immunocompromised persons, pregnant women, those in shared accommodation, those in lower socioeconomic groups.  </t>
  </si>
  <si>
    <t xml:space="preserve">Very young children, older people, those with pre-existing physical and mental health conditions, obese persons, those on certain medications, people with mobility difficulties, those misusing drugs or alcohol and those from lower socio-economic groups. </t>
  </si>
  <si>
    <t xml:space="preserve">Those living in urban areas, households occupied by young adults, older people and single parent households. </t>
  </si>
  <si>
    <t xml:space="preserve">Those who spend a greater amount of time at home, shift workers, older people and children. </t>
  </si>
  <si>
    <t>Older people, those less able to leave the dwelling and those with impaired vision.</t>
  </si>
  <si>
    <t>Pregnant women, older people, children with pica.</t>
  </si>
  <si>
    <t>During pregnancy, the unborn child is at greater risk from an electric shock.</t>
  </si>
  <si>
    <t>There is no evidence that any particular group is at greater risk from this hazard.</t>
  </si>
  <si>
    <t xml:space="preserve">Children under 10 years are more likely to suffer injury. Children/young adults are more likely to collide with door glazing. Older people/those living with cognitive impairment are more likely to suffer injury from poor ergonomics. </t>
  </si>
  <si>
    <t>Road:</t>
  </si>
  <si>
    <t>Town:</t>
  </si>
  <si>
    <t>Officer Details:</t>
  </si>
  <si>
    <t>Case Reference:</t>
  </si>
  <si>
    <t>Inspection Date:</t>
  </si>
  <si>
    <t>Type and Age!</t>
  </si>
  <si>
    <t>EPC Rating</t>
  </si>
  <si>
    <t>Certificate Number</t>
  </si>
  <si>
    <t>Expiry Date</t>
  </si>
  <si>
    <t>Property Description and Hazards</t>
  </si>
  <si>
    <t>JUSTIFICATION FOR ACTUAL CASE OUTCOMES</t>
  </si>
  <si>
    <t>HAZARD SCORE (Before Improvement)</t>
  </si>
  <si>
    <t>HAZARD SCORE (After Improvement)</t>
  </si>
  <si>
    <t>Radiation Value:</t>
  </si>
  <si>
    <t>EICR Cert</t>
  </si>
  <si>
    <t>Gas Safe Cert</t>
  </si>
  <si>
    <t>Property Name/ Number:</t>
  </si>
  <si>
    <t>UPRN:</t>
  </si>
  <si>
    <t>All Dwellings - 10</t>
  </si>
  <si>
    <t>IMPROVEMENT - 2nd Visit</t>
  </si>
  <si>
    <t>PropertyID</t>
  </si>
  <si>
    <t>Hazard No</t>
  </si>
  <si>
    <t>Justification</t>
  </si>
  <si>
    <t>Insert - "0" for Satisfactory or Non Applicable, "1" for Not Satisfactory, "2" for Defective, "3" for Seriously Defective</t>
  </si>
  <si>
    <t>Spooner HHSRS2 Scoring Sheet</t>
  </si>
  <si>
    <t>Hyperlink 1</t>
  </si>
  <si>
    <t>Hyperlink 2</t>
  </si>
  <si>
    <t>Hyperlink 3</t>
  </si>
  <si>
    <t>Hyperlink 4</t>
  </si>
  <si>
    <t>Hyperlink 5</t>
  </si>
  <si>
    <t>Hyperlink 6</t>
  </si>
  <si>
    <t>Hyperlink 7</t>
  </si>
  <si>
    <t>Case Studies</t>
  </si>
  <si>
    <t>Externally, every foundation, roof, ridge line, flashing, fascia, soffit and bargeboard, exterior staircase, exterior wall/fence shall be safe to use and capable of supporting the intended design loads and load effects and shall be in a proper state of structural repair. Internally, every wall, floor, ceiling, inside stair, porch, accessory structure, door, window and window glass shall be safe to use and capable of supporting the intended design loads and load effects, and shall be in a proper state of structural repair.</t>
  </si>
  <si>
    <t xml:space="preserve">The structural elements of a house should exhibit no signs of recent or fresh movement; evidence to the contrary may indicate to the assessor that the house may be at risk from either partial or total collapse. The main structural elements of a house are:  
• Roof structures and other roof features 
• Chimneys 
• Load-bearing walls including external walls 
• Lintels, sills and mullions, and wall ties 
• Floors and stairs 
• Load-bearing beams and columns 
• Foundations </t>
  </si>
  <si>
    <t xml:space="preserve">All asbestos-containing material shall be maintained non-friable and free from and/or looseness that may allow the release of fibres into the environment. Any friable or damaged asbestos identified shall be removed. An asbestos register for each dwelling shall be created and kept up to date. </t>
  </si>
  <si>
    <t xml:space="preserve">Any materials that contain asbestos, such as old thermoplastic tiles, insulation, cement board and/or insulation should be assessed for condition and any signs of disturbance or damage. Typical locations would be cement garages/sheds, cement roofing sheets, ceiling Artex plaster and service conduits. </t>
  </si>
  <si>
    <t xml:space="preserve">Every drainage fixture, stack, vent, water, waste and sewer pipe shall be properly installed, maintained in a safe and functional order and kept free from obstructions, leaks and defects. The drainage system must have suitable rodding or access points to allow clearance of blockages. </t>
  </si>
  <si>
    <t>All drainage and sewer connections should be visually inspected where access allows to ensure that there are no obvious signs of deterioration of any seals and that any fixings that reduce the risk of contamination to the property are in good condition. If possible, the WC should be activated, or water discharged through a wash-hand basin to observe the free flow of water through the system.</t>
  </si>
  <si>
    <t>Every waste pipe shall be connected to a public sewer system, an approved private sewage disposal system or the dwelling’s greywater system. No WC waste pipe shall be connected to a greywater system.</t>
  </si>
  <si>
    <t>The outlets should, where possible, be identified and checked for a proper sealed connection. No WC waste pipe shall be connected to a greywater system.</t>
  </si>
  <si>
    <t>There shall be adequate provision for surface- and foul-water drainage for the size and maximum occupancy of the dwelling. All drains and gullies shall be covered by a suitable grille or cover to prevent the build-up of debris restricting the natural operation of the system.</t>
  </si>
  <si>
    <t>All rainwater pipes shall discharge properly into the drainage system or soakaway. Rodding or access points shall be available to allow the clearance of any blockage.</t>
  </si>
  <si>
    <t>All access covers to drainage and other services shall be fitted with suitable flush-mounted covers adequately marked to indicate purpose.</t>
  </si>
  <si>
    <t xml:space="preserve">There should be no raised lip or edge that could result in tripping or obstruction. All covers shall be securely fixed and tightened to reduce the risk of accidental displacement. Inspection chambers internal to the dwelling must be accessible and should be airtight sealed. </t>
  </si>
  <si>
    <t>An approved potable water supply system shall provide an adequate amount of running water under pressure to all fixtures simultaneously. Supplies in individual bedsits/dwellings/flats must have their own controllable supply of water or the ability to store water.</t>
  </si>
  <si>
    <t xml:space="preserve">An adequate supply of heated running water shall be provided to sinks, wash-hand basins, baths and showers. Hot water storage tanks shall be set at a minimum temperature of 60°C. At bath taps and shower heads, the maximum temperature shall be 45°C to prevent accidental scalding. </t>
  </si>
  <si>
    <t xml:space="preserve">The hot water supply from a domestic hot water tank or combi boiler should be checked for thermostatic control and set to these temperatures. Electric showers, mixer taps, thermostatic taps, boilers and other water-heating equipment should be checked for controls and that they operate as designed. Calcification in hard-water areas can interfere with temperature controls. Water, if stored, must have an anti-legionella heating cycle above 60°C. </t>
  </si>
  <si>
    <t>The WC cistern overflow should discharge externally unless designed by the manufacturer to discharge internally through the cistern or pan.</t>
  </si>
  <si>
    <t>The WC cistern overflow should be located and identified as meeting the requirements of the standard. If it seen to discharge internally, the system must be identified and checked as meeting the manufacturer requirements. The cistern should not be continually filling and should be controlled by a working and maintained ballcock and-valve system. There should be an access point for emergency maintenance for hidden cisterns.</t>
  </si>
  <si>
    <t>Every dwelling/HMO shall have a private bathroom, equipped and provided for the sole use of that dwelling/HMO.</t>
  </si>
  <si>
    <t>Every dwelling shall have a private bathroom, equipped and provided for the sole use of that property, with the following: 
• WC (unless provided separately)
• Wash-hand basin 
• Bath or shower</t>
  </si>
  <si>
    <t>A suitably located WC in good working condition, that is sealed to the waste pipe and affixed to the floor or close coupled, shall be properly connected to both the dwelling’s water supply and a waste pipe, leading to an approved sewage system or private waste disposal system.</t>
  </si>
  <si>
    <t>The WC should be flushed to ensure it is in good working condition. The outlet should be checked to ensure it is sealed to the waste pipe and affixed to the floor properly by checking for movement. The WC shall be connected to both the dwelling’s water supply and a waste pipe leading to an approved sewage system or private waste disposal system.</t>
  </si>
  <si>
    <t>A dedicated wash-hand basin that is located in the same room as the WC or immediately adjacent shall be in good working condition, with a stable connection to the wall or secure attachment to the floor that is properly connected to the heated and unheated potable water supply and a sealed trap leading to a waste pipe. The wash-hand basin must be adequately sealed with a flexible sealant to prevent leakage and damage to the adjacent areas.</t>
  </si>
  <si>
    <t>A dedicated wash-hand basin located in the same room as the WC or immediately adjacent, that when operated is shown to be in good working condition, connections either to the wall or secure attachment to the floor are inspected for movement, and that it is properly connected to the heated and unheated potable water supply and the sealed trap leading to a waste pipe is checked for leaks when the tap is running without the plug inserted.</t>
  </si>
  <si>
    <t>A fixed bath or shower in good working condition which does not leak and is properly connected to the heated/unheated potable water supply as appropriate, and a waste pipe that does not leak. The bath or shower must be adequately sealed with a flexible sealant to prevent leakage.</t>
  </si>
  <si>
    <t>The fixed bath or shower should be inspected for being in good working order by running both the heated and unheated water taps to ensure that they supply adequate flow of water and that when removed the water discharges into the drainage system without undue delay and does not leak.</t>
  </si>
  <si>
    <t>Where a shower is fitted separate to the bath, a purposely designed shower tray must be fitted so that the step into the tray is no greater than 150mm. All waste outlets and connections shall be sealed and free from defects.</t>
  </si>
  <si>
    <t>Any purposely designed shower tray must be fitted so that the step into the tray is no greater than 150mm, which is measured from the finish floor level to the lip of the shower tray.</t>
  </si>
  <si>
    <t>A constant supply of heated and unheated water to all wash-hand basins, baths and shower facilities must be supplied and a direct drainage connection with waste trap be in good working order and free from defects and sealed where necessary. Water supply pipes must have isolation valves to allow for maintenance.</t>
  </si>
  <si>
    <t>The source of heated and unheated water should be located, and taps operated to ensure that adequate supply is delivered, and that any wastes or traps function as designed when the water is discharged. Feeds should have isolator valves to allow for maintenance.</t>
  </si>
  <si>
    <t>There must be a cleanable, non absorbent water-resistant material on floor surfaces and extending on bathroom walls at least 300mm above a bath and 1800mm above the floor of a shower or shower tray. Such materials on walls and floors shall form a watertight joint with each other and with the bathtub or shower tray. Any shower shall have a shower screen, curtain or return wall that prevents water spillage to the floor.</t>
  </si>
  <si>
    <t>Ventilation for the bathroom must be provided by mechanical extraction that is ducted to the outside of the building, in line with Baseline Indicator 16.1.</t>
  </si>
  <si>
    <t>The ventilation provision in the bathroom shall be by mechanical extraction ducted to the outside.</t>
  </si>
  <si>
    <t>Every dwelling/HMO shall have a kitchen or dedicated adequate space for the storage, preparation and cooking of food, equipped and provided for the sole use of that dwelling/HMO.</t>
  </si>
  <si>
    <t>A kitchen sink in good working condition that is properly connected to heated and unheated water supplies and waste pipes, and has an area for draining wet cutlery and utensils which is connected to a waste outlet and sealed with flexible waterproof sealant. Any provided dishwasher and components of the sink, including disposal and water filtration devices, shall be in good working condition and properly connected. All feeds must have isolator valves to allow for maintenance.</t>
  </si>
  <si>
    <t>Every dwelling shall have a kitchen or dedicated adequate space for the storage, preparation and cooking of food, equipped and provided for the sole use of that property, with the following: 
• Kitchen sink  
• Sufficient work surfaces and food storage facilities 
• Cooking facilities</t>
  </si>
  <si>
    <t xml:space="preserve">The kitchen sink taps should be operated to ensure an adequate water supply, both heated and unheated, and that the waste pipes when water is being discharged allow the water to discharge in a timely manner, and it is directed into an appropriate drainage connection. Any provided dishwasher and components of the sink, including disposal and water filtration devices, shall be in good working condition and properly connected. This should be checked by operating the system. Feeds should have isolator valves to allow for maintenance, and the kitchen sink should be sealed with clean water-resistant sealant. </t>
  </si>
  <si>
    <t>Sufficient work surface shall be provided for food preparation. Sufficient cabinets and/or shelves sufficient to store occupant or visitors’ food that does not require refrigeration, and eating, drinking and food-preparation equipment. Cabinets shall have well-fitting doors and no gaps between any surfaces. The work surface, work-surface edges, cabinets and shelves shall be of sound construction and furnished with surfaces that are impervious to water, smooth and cleanable</t>
  </si>
  <si>
    <t>For cooking food, a 4-ring hob (or 2-ring in bedsit-type accommodation) with oven and grill properly installed with all necessary connections for safe and efficient operation, which shall be maintained in good working condition.</t>
  </si>
  <si>
    <t>The hob, oven and grill shall be properly installed with all necessary connections for safe and efficient operation and shall be maintained in good working condition. These should be provided with an electrical of gas safety certificate.
Electric hobs should be installed on their own ring main and gas cookers should be suitably affixed to the wall with a chain or bracket. They should also be suitably located, for example, with work surface either side and not near doors or openable windows. 
Refer to local HMO amenity standards. There may be occasions where a 2-ring hob is considered appropriate for the space, and this may be acceptable provided it is fitted as detailed above and not portable.</t>
  </si>
  <si>
    <t>Where an oven or hob is not provided, there must be a dedicated space with a suitable connection to either gas or electricity that meets the requirement of the relevant regulations.</t>
  </si>
  <si>
    <t>Suitable facilities for the effective and safe removal of fumes and moisture laden air to the external air by means of a cooker hood or extractor fan; a cooker hood that only recycles the odour through an active carbon filter would not be acceptable, it must vent to outside. A mechanical extractor would be the normal mechanism for this function, in line with Baseline Indicator 16.1.</t>
  </si>
  <si>
    <t>There shall be a cooker hood or extractor fan, that is vented to the outside to remove any odour or moisture from the kitchen. It should be inspected by operating the system on and off. An extractor fan suitably rated would be the normal mechanism for this function. If the method of extraction is via a cooker hood, then the hood should be located over the cooking area with the ability to illuminate it. There must be filters provided that are cleanable or replaceable, and thus reduce the build-up of grease.</t>
  </si>
  <si>
    <t>Fridge and freezer or fridge-freezer, if provided, shall be in good working condition, of sufficient size to store occupants’ food that requires refrigeration, and capable of maintaining a temperature less than 6°C but more than 0°C. The freezer section shall be capable of maintaining a temperature below -18°C.</t>
  </si>
  <si>
    <t>Fridge and freezer or fridge-freezer, if provided, should be in good working condition, of sufficient size to store occupants’ food that requires refrigeration, and capable of maintaining a temperature less than 6°C but more than 0°C. The freezer section shall be capable of maintaining a temperature below -18°C. A visual inspection of the fridge or freezer should be made and the rating (shown in * of the freezer section) should be recorded.</t>
  </si>
  <si>
    <t>If a refrigerator is not provided, adequate space and connections for the occupants’ installation and operation of a refrigerator shall be provided.</t>
  </si>
  <si>
    <t>If a refrigerator is not provided, adequate space and connections for the occupants’ installation and operation of a refrigerator shall be provided. Based on the dimensions of a standard floor-mounted free standing fridge (845 × 560 × 635mm (H × W × D)) should be allowed, with an additional 50mm clearance all round.</t>
  </si>
  <si>
    <t>A kitchen floor in good condition, with a sealed, water-resistant, non-absorbent and cleanable surface.</t>
  </si>
  <si>
    <t>The kitchen floor should be visually inspected, ensuring that its perimeter and connection to kitchen cupboards or fixtures is sealed, it is constructed of water-resistant, non-absorbent and cleanable surface. This would normally be tiles or vinyl flooring.</t>
  </si>
  <si>
    <t>Where the dwelling does not contain a secure and private garden or yard for the exclusive use of that dwelling, a dryer (vented or recirculation type), or dedicated space to install a dryer, or access to a communal dryer facility must be provided.</t>
  </si>
  <si>
    <t>Where the dwelling does not contain a secure and private garden or yard for the exclusive use of that house, a dryer (vented or recirculation type), or dedicated space to install a dryer, or access to a communal dryer facility.</t>
  </si>
  <si>
    <t>A bedroom shall not be the only passageway to the only bathroom in a dwelling unit with more than one bedroom.</t>
  </si>
  <si>
    <t>A bathroom or WC room shall not be the only passageway to any habitable room, hall, basement or the exterior of the dwelling.</t>
  </si>
  <si>
    <t>This element is failed if a person must enter another person’s bedroom to access the only bathroom.</t>
  </si>
  <si>
    <t>Any habitable room, hall, basement or the exterior of the dwelling should not be accessed purely by means of access via a bathroom or WC room.</t>
  </si>
  <si>
    <t xml:space="preserve">The floor area of any room in the dwelling used as sleeping accommodation by one person aged 10 years or over must not be less than 6.51 m2. 
The floor area of any room in the dwelling used as sleeping accommodation by two persons must not be less than 10.22 m2. 
The floor area of any room in the dwelling used as sleeping accommodation by one person aged under 10 years must not be less than 4.64 m2. 
Any room in the dwelling with a floor area of less than 4.64 m2 must not be used as sleeping accommodation. 
Depending on the gender of household members, their relationship and the size of rooms, a dwelling containing one bedroom is considered suitable for up to two persons, irrespective of age. A dwelling containing two bedrooms is suitable for up to four persons. One containing three bedrooms is suitable for up to six persons and one containing four bedrooms suitable for up to seven persons. </t>
  </si>
  <si>
    <t>The floor area shall be measured from facing edge of skirting boards and excludes chimney recesses, door arcs, etc., and excludes ceiling heights of less than 1500mm. 
The room sizes indicated by the standard are the minimum acceptable sizes to be considered suitable for sleeping purposes, large, shared spaces shouldn’t usually be considered suitable mitigation for undersized rooms. 
Where there is more than one occupant in the dwelling, sharing rooms may not be an appropriate expectation, dependant on the age, gender and relationship of the occupants.
Where rooms meet these sizes, it will not always follow that there isn’t an issue with crowding and/or space, as this assessment is about more than room sizes. Alongside sufficiently sized bedrooms, there must also be sufficient space in the dwelling to allow for recreation, study and personal privacy. It will therefore not usually be appropriate to use all habitable rooms as bedrooms. Indoor and outdoor play and recreation space is necessary in accommodation housing children. Outdoor play space should be readily visible from within the dwelling and safely separated from public and neighbouring areas. 
Within a dwelling there should be sufficient space for the separation of different household activities, either by physical separation or by a clearly defined space within a larger space. The degree of separation is partly dependent on the number of people who can be expected to share the space and whether they are expected to be part of the same household. Open-plan arrangements may be acceptable for dwellings for a single person or for a couple but not for dwellings intended for larger households. 
For larger households, physical separation of living, cooking, dining and even sleeping areas is more necessary. For such households, bedrooms should lead off a circulation space and should be large enough to be usable for sleeping and for studying or relaxing away from the other members of the household.</t>
  </si>
  <si>
    <t>The ceiling height of any habitable room shall be at least 2100mm. In a habitable room with a sloping ceiling, at least one-half of the floor area shall have a ceiling height of at least 2100mm. If any part of a habitable room has a ceiling height lower than 1500mm, its floor area shall be excluded when calculating the floor area. For the purposes of this requirement, basement or subfloor rooms are excluded.</t>
  </si>
  <si>
    <t>The ceiling height of any habitable room shall be measured to be at least 2100mm. In a habitable room with a sloping ceiling, at least one half of the floor area shall have a ceiling height of at least 2100mm. If any part of a room has a ceiling height lower than 1500mm, its floor area shall not be considered in calculating the floor area of the room. For the purposes of this requirement basement or subfloor rooms are excluded.</t>
  </si>
  <si>
    <t>Internal doors leading between areas of a single dwelling must provide a sufficient barrier to the spread of smoke and fire (where appropriate). Any glazing in doors must respond safely to collision and must be designed for functionality to avoid strains or entrapment when in use, and must be maintained in good repair. All bathrooms and WC room doors must be fitted with a suitable lock and must not contain clear glass.</t>
  </si>
  <si>
    <t>Any glazing must respond safely to collision, in line with the principles set out in Approved Document K, doors must be designed for functionality to avoid strains or entrapment when in use, and must be maintained in good repair. To provide a sufficient barrier, non fire doors should still be well fitting and of solid construction.</t>
  </si>
  <si>
    <t>External yards, paths, steps, accessways and surrounds within the curtilage of the dwelling shall be in good repair, even and well drained. Accessways must be suitable non-slip surfaces, have adequate lighting and should not have slopes of sufficient gradient to present a falls risk. This includes consideration to unevenness, trip risks and poor slip resistance, to any steps or surfaces within external space that is provided, to the front door, yard and garden. Where there are drops of more than 300mm from paths, patios, steps, terraces or garden areas guarding will be necessary where there are high risks of falling. All boundaries should be clearly defined and enclosed by well-maintained and suitable walls or fences. This also applies to structure, accessways, security doors and lifts.</t>
  </si>
  <si>
    <t>The external areas shall be inspected to ensure that there are no tripping or falling hazards from paths, ramps or thresholds such as raised edges or undue unevenness. Any drops from paths, patios, steps, staircases, terraces, or garden areas that present a falls risk must have guarding in place. All boundaries and structure, accessways, security doors and lifts should be clearly defined and enclosed by well-maintained and suitable walls or fences. They should be checked for stability and condition.</t>
  </si>
  <si>
    <t>All new flats/flat conversions must comply fully with current building regulations in respect of sound insulation. Older flats/flat conversions should comply with all relevant building regulations relating to noise.</t>
  </si>
  <si>
    <t>All new flats/flat conversions should comply fully with current Building Regulation Approved Document E (available at www.gov.uk) in respect of sound insulation; this should be checked against any building regulations approval completion notice. Older flats/flat conversions should comply as fully as possible with current building regulations.</t>
  </si>
  <si>
    <t>The noise level inside the dwelling caused by steady external noise sources must not exceed: 
• 07:00 to 23:00 – 40 dBLAeq,T16 in the living room and bedroom area, and 45 dBLAeq,T16 in the dining room/area 
• 23:00 to 07:00 – 35 dBLAeq,T8 in the bedroom</t>
  </si>
  <si>
    <t>The decibel scale and various noise indicators are used to quantify noise exposure levels. However, they are not intuitive and for people not familiar with their use can result in difficulties understanding them. A sound’s unpleasantness depends upon its loudness, frequency content, duration, intermittence, predictability and source. Individuals find different sounds annoying, so no single measure can predict the reactions of everybody. The limits here refer to decibels measured on a sound level meter incorporating a frequency weighting (A weighting) which differentiates between sounds of different frequency (pitch) in a similar way to the human ear. Measurements in dB(A) broadly agree with people's assessment of loudness. A change of 3 dB(A) is the minimum perceptible under normal conditions, and a change of 10 dB(A) corresponds roughly to halving or doubling the loudness of a sound. The background noise level in a typical living room may be about 30 dB(A); normal conversation about 60 dB(A) at 1 metre; heavy road traffic about 80 dB(A) at 10 metres; the level near a pneumatic drill about 100 dB(A).
We specify the limit sound pressure level as LAeq, T: the equivalent continuous sound level – the sound level of a notionally steady sound having the same energy as a fluctuating sound over a specified measurement period (T – either 16 hours or 8 hours). LAeq, T is used to describe many types of noise and can be measured directly with an integrating sound-level meter. 
It has been decided to include sound pressure levels as Baseline Indicators as most people now have smart phones where sound-level apps can be downloaded for no cost. While these meters are of course not calibrated or tested meaning any results they offer should be treated with a degree of caution, they do offer helpful indicators as to whether the noise limits are likely to be exceeded. If they do show noise levels which are likely to exceed the Baseline Indicators, then further investigation should be carried out by someone competent using appropriate equipment. The equipment to be used for measuring noise levels should:  
a) Conform to the accuracy requirements specified in BS EN ISO 140, BS EN ISO 10140 or BS 4142, as applicable; or  
b) If not stated, meet Class 2 or better (see BS EN 61672-1, BS EN 61672-2 and BS EN 60942). 
When measuring the internal ambient noise levels, if applicable, any room should have adequate ventilation (e.g. trickle vents should be open) during assessment. 
Should the minimum noise levels be exceeded, all reasonable noise control measures should be designed and implemented to ensure that the noise levels are met, along with local or national noise management policies, as appropriate.</t>
  </si>
  <si>
    <t>Adequate external lighting shall be provided to all means of access including entrances and external refuse stores, providing good visibility when there is no daylight.</t>
  </si>
  <si>
    <t>External lighting should be designed to provide illuminance levels that enable householders to perform outdoor visual tasks efficiently and accurately, especially during the night. The lighting must be controlled to avoid operation during daylight hours, where there is sufficient daylight in or around the dwelling. Lighting must be controllable by the householder. External lighting should not cause a nuisance to other properties, be suitable for external use and located at a height for easy maintenance. Adequate lighting may be provided by public or street lighting.</t>
  </si>
  <si>
    <t>Access doors to dwellings should have adequate locks. Doors must be solid external grade and fitted with a minimum of a mortice deadlock to BS 3621, openable from the inside without a key. There must be a means for occupiers to view visitors without opening the door, by means of, for example, a functional smart doorbell, a viewer within the door or by a glazed pane adjacent or close to the entrance door. All rear doors should be fitted with a mortice dead lock to BS 3621 or 2 security bolts.</t>
  </si>
  <si>
    <t>Doors must be solid external grade and fitted with a minimum of a mortice deadlock to BS 3621 openable from the inside without a key. There must be a means for occupiers to view visitors without opening the door, either by means of a viewer within the door or by a glazed pane adjacent or close to the entrance door. All rear doors should be fitted with a mortice dead lock to BS 3621 or 2 security bolts.</t>
  </si>
  <si>
    <t>Windows in accessible locations must be provided with suitable window locks.</t>
  </si>
  <si>
    <t>Windows in accessible locations should be provided with suitable window locks, operated with a key and be free from defect. The windows should be opened, closed, and locked to ensure that the requirement is met.</t>
  </si>
  <si>
    <t>Dwellings with a common entrance door shall have a door entry system allowing a visitor to contact the dwelling. It shall allow a visitor to ring any selected dwelling within the particular system and/or building and hold a two-way simultaneous conversation between the visitor and occupant of the dwelling. It will allow the occupant to see and identify the visitor and their location.</t>
  </si>
  <si>
    <t>The common entrance system should be inspected and operated to ensure that it allows a visitor to ring any selected dwelling within the particular system and/or building and hold a two-way simultaneous conversation between the visitor and occupant of the dwelling. The internal display should be checked to ensure that it will allow the occupant to see and identify the visitor and their location. If the dwelling occupant can clearly see the visitor from their flat, for example through window or internal door viewer, video communication is not necessary.</t>
  </si>
  <si>
    <t>All door and window frames and furniture shall operate properly and be in a good state of repair, with no open joints or compromised seals between the windows/doors and adjacent walls.</t>
  </si>
  <si>
    <t>All door and window frames and furniture should be operated to ensure that they open and close freely, and should be checked to ensure they are in a good state of repair, with no loose hinges, ironmongery or glass units. Windows should close fully flush to the frame. All panes of glass must be in good repair, with no cracks or holes.</t>
  </si>
  <si>
    <t>Every interior and exterior stairway, ramp, deck, porch, balcony walkway, terrace, landing and hall shall be maintained structurally sound, in good repair, properly anchored and capable of supporting the imposed loads.</t>
  </si>
  <si>
    <t>All elements listed in this requirement should be visually inspected and any fixings and anchoring points checked for no movement. There should be no signs of movement or instability when used normally.</t>
  </si>
  <si>
    <t>Internal and external stairs must be safe, secure, in sound condition, free from defects and projections and well maintained. External stairs must be designed to allow water to drain away from the steps.</t>
  </si>
  <si>
    <t>The stairs should be inspected, including any handrail, treads, risers and balustrading for defects and looseness, and designed to allow water to drain away from the steps. They should be checked for any signs of movement, loose fixings, rot or deterioration from infestation.</t>
  </si>
  <si>
    <t>Stair coverings must be securely and safely fastened. Treads on exterior stairways shall have non-slip surfaces, be firmly fixed and cover at least 75% of each tread.</t>
  </si>
  <si>
    <t>Stair coverings must be securely and safely fastened, using a proprietary fixing such as carpet gripper of carpet rods. 
Treads on exterior stairways shall have non-slip surfaces and be firmly fixed in place, covering at least 75% of the useable surface of each tread.</t>
  </si>
  <si>
    <t>Every interior and exterior stairway with four or more risers shall have at least one structurally sound continuous handrail installed, between 900mm and 1000mm high, measured from the pitch line to the top of the handrail. The handrail shall be firmly fastened, capable of supporting a load of 140kg and in good condition.</t>
  </si>
  <si>
    <t>Every interior and exterior stairway with four or more risers shall have at least one structurally sound continuous handrail installed, between 900mm 1000mm high, measured from the pitch line to the top of the handrail. 
The handrail shall be firmly fastened, capable of supporting a load of 140kg and in good condition.</t>
  </si>
  <si>
    <t>Minimum headroom on a staircase shall be 1900mm.</t>
  </si>
  <si>
    <t>Minimum headroom on a staircase should be 1900mm, measured from the line of the staircase.</t>
  </si>
  <si>
    <t>There shall be landings at the top and bottom of all internal and external flights of stairs, with a minimum width of 750mm and length of 500mm.</t>
  </si>
  <si>
    <t>There should be landings at the top and bottom of all flights of stairs, with a minimum width of 750mm and length of 500mm. The measurements of these landings should be checked.</t>
  </si>
  <si>
    <t>The inspection should include any signs that effluence is collecting in the drainage chamber, or that there are signs of overflowing around inspection chambers or drainage outlets. Relevant hazards: Falls on the Level, Damp and Mould Growth, Domestic Hygiene. 
Drains and gullies should be covered by suitable grilles or grates to prevent debris collecting and should be of suitable size for the number of pipes draining into them. There should also be suitably located and adequate numbers of inspection chambers and access points such as rodding eyes.</t>
  </si>
  <si>
    <t>All rainwater and grey pipes must connect and drain effectively into a drain or gulley which should have a suitable grate and trap. 
There should be no rainwater pipes that discharge directly onto a path or solid surface unless it is channelled towards a soakaway or gulley.</t>
  </si>
  <si>
    <t xml:space="preserve">Most dwellings in England are supplied by a registered water supplier licensed by Ofwat and overseen by the Drinking Water Inspectorate. There are, however, a number of dwellings served by private water supplies, where local authorities act as the regulators.  
To be adequate, the water supply should be readily available and of sufficient pressure and continuity. Water must be available from at least one tap inside the dwelling. The first tap off the supply pipe (usually the kitchen tap) must provide sufficient pressure to fill a 4.5 litre (1 gallon) bucket with water in 30 seconds. There should be no interruption to the supply unless caused by maintenance or repair works. The water supply must be potable or wholesome as defined by the appropriate regulations. 
Approved public water supplies are governed by the Water Supply (Water Quality) Regulations 2016. Private water supplies are governed by the Private Water Supplies Regulations 2016.  
Wholesomeness is defined by regulations with reference to chemicals and micro-organisms, which set out maximum levels and concentrations that water must comply with. Laboratory analysis is the only way to properly test whether water is wholesome.
There should be a functioning stop tap allowing the water to be turned off in the event of a leak. 
Supplies in individual bedsits/dwellings/flats must have their own controllable supply of water or the ability to store water. </t>
  </si>
  <si>
    <t>The floor covering or surface shall be vinyl or similar impervious covering that is easy to clean and is suitably sealed at the connections with any other item such as the bath, shower tray, WC or wash-hand basin. 
The walls shall be protected by either ceramic tiles or other suitable material that is cleansable, impermeable, and sealed at all connections with the bath, shower, tray or ceiling (if full height).</t>
  </si>
  <si>
    <t xml:space="preserve">All kitchens shall be of such a layout and size to adequately enable the safe storage, preparation and cooking of food. In kitchens for exclusive use of up to two occupiers, a worktop of 1000mm length and 600mm depth must be provided as a minimum, and 1500mm and depth of 600mm per five persons sharing, or part thereof. Worktops should be securely fixed and, where practicable, be adjacent to the cooker. 
Each individual shall be provided with a dry-goods storage cupboard of at least 0.24m3 capacity. Cupboards under sinks are not suitable and cannot be used for dry-goods storage. All cabinets shall be opened and closed to ensure that they have well-fitting doors.  
There should be no gaps between any surfaces where food or dirt could collect. The work surface, work-surface edges, cabinets and shelves shall be visually inspected to ensure there are no signs of damage that could allow dirt or debris to collect, and that they are smooth and impervious to ensure they are cleanable. </t>
  </si>
  <si>
    <t xml:space="preserve">A minimum width of 650mm should be available to house the hob and oven, with either dedicated electrical connection via a fused spur or a dedicated gas connection. 
They should also be suitably located, for example, not near doors or openable windows. </t>
  </si>
  <si>
    <t>Every stairway, porch, patio, landing, balcony walkway, terrace and hall located more than 600mm above an adjacent area shall have a structurally sound guard, between 900mm and 1100mm high, measured vertically from the floor. The guard shall be firmly fastened, capable of supporting normally imposed loads and in good condition. Balusters with a minimum thickness of 10mm shall be placed at intervals that do not allow passage of a sphere greater than 100mm in diameter. There shall be no climbable cross-pieces.</t>
  </si>
  <si>
    <t>Every stairway, porch, patio, landing and/or balcony located more than 600mm above an adjacent area shall have a structurally sound guard, between 900mm and 1100mm high, measured vertically from the floor. 
The guard shall be firmly fastened, capable of supporting normally imposed loads, and in good condition. 
Balusters with a minimum thickness of 10mm shall be placed at intervals that do not allow passage of a sphere greater than 100mm in diameter. There shall be no climbable cross-pieces.</t>
  </si>
  <si>
    <t>All windows with an opening section greater than 100mm, through which a person may fall a single storey or more , shall have a fall-prevention device that restricts opening to less than 100mm. It must be possible to overcome this restriction easily when the windows in question are required to be escape windows, under the building regulations.</t>
  </si>
  <si>
    <t>All windows with an opening section through which a person may fall a single storey or more, particularly where floor-to-sill height is less than 800mm shall have a fall-prevention device that restricts opening to 100mm maximum. These measurements must be checked for compliance.
The operation of how to overcome this restriction shall be checked to ensure that it is easy and quick to be released when the windows in question are required to be escape windows, under the building regulations.</t>
  </si>
  <si>
    <t>Any open fires or flames as a source of heat must be adequately guarded to ensure any accidental falls or trips do not result in contact with the open flames. Where there is risk of prolonged contact with hot surfaces of more than 43oC, adequate guarding must be provided to prevent contact.</t>
  </si>
  <si>
    <t>A suitable fireguard shall be in place that is sturdy and sufficiently strong to remain in place in the event of a trip or fall by any resident or visitor to the property. It should be capable of being removed safely and easily, to facilitate the maintenance of the open fireplace. Log burners and solid-fuel appliances with hot surfaces should also be considered here.
Contact with surfaces above 43°C can lead to serious injury. Many radiators and associated pipework are likely to operate at temperatures which may present a burn risk. However, the focus here is on situations where there is risk of prolonged contact which often occurs because people have fallen and are unable to move, or are trapped by furniture. Where assessment identifies that people may come into prolonged contact with surfaces greater than 43 °C, such equipment should be designed or covered to prevent contact.  
Surface-mounted pipework which is exposed at low level, that is, within 2 m of the floor, presents an additional risk if it is carrying water above 43oC and should be securely insulated or ‘boxed in’. This includes vertical and horizontal pipe runs. Where guards are used to prevent contact with hot surfaces, such as radiators, the size of the mesh should be carefully selected to prevent small hands penetrating and contacting the heat emitter.</t>
  </si>
  <si>
    <t>Every habitable room shall have adequate natural lighting.</t>
  </si>
  <si>
    <t>Every habitable room shall have adequate natural lighting that allows a newspaper to be read during daylight hours without strain or the need for artificial lighting. As a general guide, the total size of glazed openings in a habitable room should not be less than 1 10 th of the floor area, and some part of the window should be at least 1750mm above floor area.</t>
  </si>
  <si>
    <t>Every hall, stairs and landing within the house, and every room used, or intended for use, by the occupant of the house shall have a suitable and adequate means of artificial lighting that is controllable and accessible which can allow lighting to be turned on and off and bulbs/fixtures to be changed and maintained safely. Two-way or PIR activated lighting shall be provided to any internal staircase.</t>
  </si>
  <si>
    <t>Every hall, stairs and landing within the house, and every room used, or intended for use, by the occupant of the house shall have a suitable and adequate means of controllable and accessible artificial lighting which can allow lighting to be turned on and off and bulbs/fixtures to be changed and maintained safely.</t>
  </si>
  <si>
    <t>Light switches that control ceiling- or wall-type electric light fixtures shall be located conveniently in each room for safe use.</t>
  </si>
  <si>
    <t>Light switches that control ceiling- or wall-type electric light fixtures shall be located conveniently in every room for safe use. Two-way lighting should be provided to any internal staircase.</t>
  </si>
  <si>
    <t>All electrical installations, including fixtures and fittings, must be maintained in good repair.</t>
  </si>
  <si>
    <t>Electrical installations, fixtures and fittings must be checked for looseness and signs of deterioration or discolouration, and show no signs of being overloaded. An up-to-date EICR shall be evidenced and shall be satisfactory.</t>
  </si>
  <si>
    <t>Gas appliances and flues provided for occupants are safe for continued use.</t>
  </si>
  <si>
    <t>An up-to-date gas safety certificate completed by a competent person shall be evidenced.</t>
  </si>
  <si>
    <t>Every habitable room shall have at least 2 separate and remote double electric sockets that are suitably located for use. Kitchens shall have at least 4 suitably located double sockets.</t>
  </si>
  <si>
    <t>Every habitable room shall have at least 2 separate and remote double electric sockets, that are located on opposite and or adjacent walls and the kitchen a minimum of 4 double sockets in convenient locations, relating to the worktops and food preparation areas.</t>
  </si>
  <si>
    <t>Structural thermal insulation shall be provided to minimise heat loss. Where there is a loft space, insulation shall be provided as detailed: A minimum 250mm of loft insulation (assumed to be mineral wool or similar).</t>
  </si>
  <si>
    <t>Where there is a loft space, insulation shall be provided as detailed: 
• Minimum of 250mm depth, with any loft hatch insulated and sealed to avoid draughts. 
• Insulation should provide a U-value 0.16 W/m2K (Watts per metre square Kelvin). 
This is equivalent to around 250–270mm of mineral wool insulating material, but the thickness will be dependent upon the material used: the use of other suitable materials is permitted.</t>
  </si>
  <si>
    <t>Hot water cylinder, if present, must be insulated with a minimum 50mm jacket if not pre-insulated, and it must be fitted with a tank thermostat.</t>
  </si>
  <si>
    <t>Hot water cylinder if present, must be insulated with a minimum 50mm jacket if not pre-insulated, and it must be fitted with a tank thermostat.</t>
  </si>
  <si>
    <t>If the walls are of cavity wall construction, they must be insulated unless professional examination confirms to do so is technically unfeasible, due to either their condition or location in terms of wind-driven rain, or the width of the cavity being less than 40mm.</t>
  </si>
  <si>
    <t>If the walls are of cavity wall construction, they must be insulated unless professional examination confirms it is technically unfeasible. It may be possible to identify if the wall has been insulated by the presence of insulation insertion holes on the external leaf of the building. Insulation may include cavity wall injected insulation or internal wall thermal boarded with suitable interstitial insulation. 
Cavity walls should also have weep holes or airbricks to allow the structure to breathe and prevent interstitial damp.</t>
  </si>
  <si>
    <t>Every dwelling shall have a properly installed heating system in good and safe working condition that is capable of safely and adequately heating all habitable rooms, bathrooms and WC rooms. The system must be capable of heating the main living area to 21°C and the remaining habitable rooms to a temperature of 18°C when the external temperature is minus 1°C, and the system should not allow the temperature to exceed 25°C in any room during the heating season.</t>
  </si>
  <si>
    <t>Every dwelling shall have a properly installed heating system in good and safe working condition that is capable of safely and adequately heating all habitable rooms, bathrooms, and WC rooms. The system must be capable of heating the main living room to 21°C, and the remaining habitable rooms to a temperature of 18°C when the external temperature is -1°C, and the system should not allow the temperature to exceed 25°C in any room during the heating season.</t>
  </si>
  <si>
    <t>Heating and hot water must be capable of being controlled effectively and timed to operate by the occupiers.</t>
  </si>
  <si>
    <t>The presence of a system or heating timing control shall be confirmed, and the system is capable of having the heating and hot water operated independently.</t>
  </si>
  <si>
    <t>Water heaters, wood stoves and other devices that employ combustion burning fuel shall be vented to the outside of the structure in an approved manner that meets the manufacturer specification and in compliance with applicable standards and shall be supplied with sufficient air to support the continuous complete combustion of fuel and prevent back-draughting or the emission of harmful gases to any internal or enclosed spaces. The chimney must be maintained in accordance with the manufacturer requirements, including sweeping and inspection.</t>
  </si>
  <si>
    <t>Any heating system of this type shall be proven to meet the regulations by the presence of a certificate provided by a suitably competent person as defined by the building regulations.</t>
  </si>
  <si>
    <t>Where appropriate (when burning fossil fuels as heating, hot water provision, or for cooking) a hard-wired CO detector with battery back-up must be installed in the room containing the appliance.</t>
  </si>
  <si>
    <t>The burning of fossil fuels can lead to escape of carbon monoxide, which can cause harm and death. In every room that has a fossil fuelled appliance or heater a hard-wired CO detector with battery back-up must be installed.</t>
  </si>
  <si>
    <t>The air exhausted from a bathroom, WC room, kitchen, clothes dryer or basement must be provided by mechanical ventilation or by a correctly designed and installed natural ventilation system, as required by Part F of the Building Regulations. In addition, it shall not be vented into any other parts of the building’s habitable space or an attic; such air shall discharge directly to the outdoors but not near any intake on the building exterior.</t>
  </si>
  <si>
    <t>All extract and ventilation systems should be either vented externally directly through the wall, or via a ducting system that meets the manufacturer requirements and specifications.</t>
  </si>
  <si>
    <t>All habitable rooms must have at least one window, door or skylight which opens to the outside and can be fixed in an open position. In addition, ventilation may also be provided by the presence of trickle vents, air bricks or passive stack ventilation.</t>
  </si>
  <si>
    <t>All doors, windows or skylights shall be inspected and checked to ensure that there is a suitable and propriety means of fixing them in an open position. Rooms can also include trickle vents in windows, passive airbricks or passive stack ventilation.</t>
  </si>
  <si>
    <t>In each habitable room, the size of the openable windows, doors and skylights together must be at least 5% of the floor area of that room.</t>
  </si>
  <si>
    <t>The size of the openable windows, doors and skylights should be measured and added together to calculate the total area. This must then be checked against the floor area of that room and be shown to be at least 5% of the floor area of that room.</t>
  </si>
  <si>
    <t>All means of ventilation shall be maintained in good repair and working order.</t>
  </si>
  <si>
    <t>The ventilation system shall be operated to ensure it is working, and inspected for any build-up of grease, dust or other debris, and have sufficient draw to provide sufficient air exchange. Check that air bricks and passive ventilation have not been removed, sealed or blocked.</t>
  </si>
  <si>
    <t>Every foundation, roof, roofing component, exterior wall, floor, door, skylight and window shall be watertight, weathertight, free of persistent dampness or moisture and in good condition.</t>
  </si>
  <si>
    <t>All the elements of this section should be visually inspected for obvious defects and signs of damp. Specific attention should be made to ensure that there are no signs of moisture penetration through any of the elements.</t>
  </si>
  <si>
    <t>The building’s drainage system, such as footing or foundation drains, gutters, downspouts, rainwater collection containers or other elements shall direct water away from the structure.</t>
  </si>
  <si>
    <t>The drainage system shall be checked for operation; this can be done by activation of the WC and/or wash-hand basins and kitchen sink in the property to evidence the water running away through the drainage system.</t>
  </si>
  <si>
    <t>No single room in any of the property shall have an observable level of damp or mould growth or deterioration of internal finishes that exceeds 5% of the wall and/or ceiling surface.</t>
  </si>
  <si>
    <t>All rooms should be inspected and any signs of mould growth of or damp ingress shall be measured to ensure that it does not exceed 5% of any of the wall and/or ceiling surfaces. This is assessed on a room by-room basis and not accumulatively.</t>
  </si>
  <si>
    <t>Dwellings must not have radon concentrations greater than 200Bq per cubic metre.</t>
  </si>
  <si>
    <t>Dwellings must not have radon concentrations greater than 200Bq per cubic metre, being the action level the government recommends radon mitigation works should be carried out. High radon levels are limited to particular geographic areas, as demonstrated by the UK Health Security Agency’s radon affected maps: https://www.ukradon.org/information/ukmaps. 
If the dwelling is located in an area of elevated radon potential, then the level of radon should be tested. If this is found to exceed 200Bq per cubic metre, then remedial works should be undertaken to reduce this to below 100Bq per cubic metre.</t>
  </si>
  <si>
    <t>Only biocidal products approved by the Biocidal Products Regulations may be used within the dwelling and done so in accordance with the approved manufacturer's instructions.</t>
  </si>
  <si>
    <t>Biocidal products are used to protect people and animals, preserve goods, stop pests like insects or rodents and control viruses, bacteria and fungi through a chemical or biological action. Biocidal products are controlled by the GB Biocidal Products Regulation, which make sure that when biocidal products are used properly, they do not harm people, pets or the wider environment.
Every product containing the biocidal active substance must be authorised for each specific formulation (e.g. liquid, spray, etc.), intended use (e.g. control of ticks or mosquitos) and user category (e.g. professional users or general public). Members of the general public should never use biocidal products that are only intended for professional users. This is because professional users are required to have had the appropriate information, instruction and training to be able to use such products. Additionally, professional users are required to hold specific certification for some professional-use products.</t>
  </si>
  <si>
    <t>The property and all structures and areas within the curtilage of the property shall be free of pest infestation, with no features present that will attract and support pests. Inspection shall take place to ensure a pest-free environment.</t>
  </si>
  <si>
    <t>The property and all structures and areas within the curtilage of the property shall be free of pest infestation with no features present that will attract and support pests. Inspection shall take place to ensure a pest-free environment, and adequate pest-proofing should be undertaken.</t>
  </si>
  <si>
    <t>Any furniture or soft furnishings that are provided by the landlord should comply with the Furniture and Furnishings (Fire) (Safety) Regulations 1988, inclusive of being correctly labelled for fire resistance.</t>
  </si>
  <si>
    <t>All electrical equipment supplied by landlords in rented residential premises is safe and compliant with current UK requirements for safety of domestic electrical products; all electrical appliances supplied by the landlord are subject to testing in line with the IET Code of Practice for In-service Inspection and Testing of Electrical Equipment (Fifth Edition) unless they are under one year old and display a UKCA/CE marking.</t>
  </si>
  <si>
    <t>An annual gas safety check should have been undertaken within the last 12 months with a satisfactory result. Any heating provided by LPG shall be inspected annually by a suitably qualified engineer.</t>
  </si>
  <si>
    <t>All electrical equipment supplied by landlords in rented residential premises is safe and compliant with current UK requirements for safety of domestic electrical products; all electrical appliances supplied by the landlord are subject to testing in line with the IET Code of Practice for In-service Inspection and Testing of Electrical Equipment (Fifth Edition) unless they are under one year old and display a UKCA/CE marking.
Code of practice available at https://shop.theiet.org</t>
  </si>
  <si>
    <t>Any furniture or soft furnishings that are provided by the landlord should comply with the Furniture and Furnishings (Fire) (Safety) Regulations 1988, inclusive of being correctly labelled for fire resistance.
Legislation available at available at www.legislation.gov.uk</t>
  </si>
  <si>
    <t>The electrical installation should have been inspected and tested within the last 5 years.</t>
  </si>
  <si>
    <t>There should be sufficient, properly designed and appropriately sited smoke and heat detectors with alarms in every dwelling. These should be properly maintained and regularly tested (Additional guidance provided).</t>
  </si>
  <si>
    <t>The escape route from bedrooms through habitable rooms should either be avoided, or mitigated, by other provisions.</t>
  </si>
  <si>
    <t>The continued use of escape windows will create inclusivity issues and should not be a preferred solution.</t>
  </si>
  <si>
    <t>Egress through doors/windows that are required for means of escape should not require the use of a key or a code.</t>
  </si>
  <si>
    <t>Baseline Indicators</t>
  </si>
  <si>
    <t>Guidance Notes</t>
  </si>
  <si>
    <t>HHSRSBazLetMeIn£$%100</t>
  </si>
  <si>
    <t>1.10</t>
  </si>
  <si>
    <t>2.1</t>
  </si>
  <si>
    <t>2.2</t>
  </si>
  <si>
    <t>2.3</t>
  </si>
  <si>
    <t>2.4</t>
  </si>
  <si>
    <t>2.5</t>
  </si>
  <si>
    <t>2.6</t>
  </si>
  <si>
    <t>2.7</t>
  </si>
  <si>
    <t>2.8</t>
  </si>
  <si>
    <t>2.9</t>
  </si>
  <si>
    <t>2.10</t>
  </si>
  <si>
    <t>2.11</t>
  </si>
  <si>
    <t>2.12</t>
  </si>
  <si>
    <t>2.13</t>
  </si>
  <si>
    <t>2.14</t>
  </si>
  <si>
    <t>2.15</t>
  </si>
  <si>
    <t>2.16</t>
  </si>
  <si>
    <t>3.1</t>
  </si>
  <si>
    <t>3.2</t>
  </si>
  <si>
    <t>3.3</t>
  </si>
  <si>
    <t>3.4</t>
  </si>
  <si>
    <t>3.5</t>
  </si>
  <si>
    <t>3.6</t>
  </si>
  <si>
    <t>3.7</t>
  </si>
  <si>
    <t>3.8</t>
  </si>
  <si>
    <t>4.1</t>
  </si>
  <si>
    <t>4.2</t>
  </si>
  <si>
    <t>4.3</t>
  </si>
  <si>
    <t>4.4</t>
  </si>
  <si>
    <t>4.5</t>
  </si>
  <si>
    <t>4.6</t>
  </si>
  <si>
    <t>4.7</t>
  </si>
  <si>
    <t>4.8</t>
  </si>
  <si>
    <t>4.9</t>
  </si>
  <si>
    <t>4.10</t>
  </si>
  <si>
    <t>4.11</t>
  </si>
  <si>
    <t>4.12</t>
  </si>
  <si>
    <t>4.13</t>
  </si>
  <si>
    <t>4.14</t>
  </si>
  <si>
    <t>4.15</t>
  </si>
  <si>
    <t>4.16</t>
  </si>
  <si>
    <t>4.17</t>
  </si>
  <si>
    <t>4.18</t>
  </si>
  <si>
    <t>4.19</t>
  </si>
  <si>
    <t>4.20</t>
  </si>
  <si>
    <t>4.21</t>
  </si>
  <si>
    <t>5.1</t>
  </si>
  <si>
    <t>5.2</t>
  </si>
  <si>
    <t>5.3</t>
  </si>
  <si>
    <t>5.4</t>
  </si>
  <si>
    <t>5.5</t>
  </si>
  <si>
    <t>5.6</t>
  </si>
  <si>
    <t>5.7</t>
  </si>
  <si>
    <t>6.1</t>
  </si>
  <si>
    <t>6.2</t>
  </si>
  <si>
    <t>6.3</t>
  </si>
  <si>
    <t>6.4</t>
  </si>
  <si>
    <t>6.5</t>
  </si>
  <si>
    <t>6.6</t>
  </si>
  <si>
    <t>6.7</t>
  </si>
  <si>
    <t>6.8</t>
  </si>
  <si>
    <t>6.9</t>
  </si>
  <si>
    <t>6.10</t>
  </si>
  <si>
    <t>6.11</t>
  </si>
  <si>
    <t>6.12</t>
  </si>
  <si>
    <t>6.13</t>
  </si>
  <si>
    <t>7.1</t>
  </si>
  <si>
    <t>8.1</t>
  </si>
  <si>
    <t>7.2</t>
  </si>
  <si>
    <t>7.3</t>
  </si>
  <si>
    <t>9.1</t>
  </si>
  <si>
    <t>10.1</t>
  </si>
  <si>
    <t>8.2</t>
  </si>
  <si>
    <t>9.2</t>
  </si>
  <si>
    <t>10.2</t>
  </si>
  <si>
    <t>8.3</t>
  </si>
  <si>
    <t>9.3</t>
  </si>
  <si>
    <t>9.4</t>
  </si>
  <si>
    <t>9.5</t>
  </si>
  <si>
    <t>10.3</t>
  </si>
  <si>
    <t>10.4</t>
  </si>
  <si>
    <t>10.5</t>
  </si>
  <si>
    <t>10.6</t>
  </si>
  <si>
    <t>10.7</t>
  </si>
  <si>
    <t>10.8</t>
  </si>
  <si>
    <t>10.9</t>
  </si>
  <si>
    <t>10.10</t>
  </si>
  <si>
    <t>11.1</t>
  </si>
  <si>
    <t>11.2</t>
  </si>
  <si>
    <t>11.3</t>
  </si>
  <si>
    <t>11.4</t>
  </si>
  <si>
    <t>11.5</t>
  </si>
  <si>
    <t>11.6</t>
  </si>
  <si>
    <t>12.1</t>
  </si>
  <si>
    <t>13.1</t>
  </si>
  <si>
    <t>12.2</t>
  </si>
  <si>
    <t>12.3</t>
  </si>
  <si>
    <t>12.4</t>
  </si>
  <si>
    <t>12.5</t>
  </si>
  <si>
    <t>13.2</t>
  </si>
  <si>
    <t>13.3</t>
  </si>
  <si>
    <t>13.4</t>
  </si>
  <si>
    <t>13.5</t>
  </si>
  <si>
    <t>13.6</t>
  </si>
  <si>
    <t>13.7</t>
  </si>
  <si>
    <t>13.8</t>
  </si>
  <si>
    <t>13.9</t>
  </si>
  <si>
    <t>14.1</t>
  </si>
  <si>
    <t>14.2</t>
  </si>
  <si>
    <t>14.3</t>
  </si>
  <si>
    <t>14.4</t>
  </si>
  <si>
    <t>14.5</t>
  </si>
  <si>
    <t>15.1</t>
  </si>
  <si>
    <t>15.2</t>
  </si>
  <si>
    <t>15.3</t>
  </si>
  <si>
    <t>15.4</t>
  </si>
  <si>
    <t>15.5</t>
  </si>
  <si>
    <t>15.6</t>
  </si>
  <si>
    <t>16.1</t>
  </si>
  <si>
    <t>16.2</t>
  </si>
  <si>
    <t>16.3</t>
  </si>
  <si>
    <t>16.4</t>
  </si>
  <si>
    <t>16.5</t>
  </si>
  <si>
    <t>16.6</t>
  </si>
  <si>
    <t>16.7</t>
  </si>
  <si>
    <t>16.8</t>
  </si>
  <si>
    <t>16.9</t>
  </si>
  <si>
    <t>16.10</t>
  </si>
  <si>
    <t>16.11</t>
  </si>
  <si>
    <t>16.12</t>
  </si>
  <si>
    <t>16.13</t>
  </si>
  <si>
    <t>16.14</t>
  </si>
  <si>
    <t>16.15</t>
  </si>
  <si>
    <t>16.16</t>
  </si>
  <si>
    <t>16.17</t>
  </si>
  <si>
    <t>16.18</t>
  </si>
  <si>
    <t>16.19</t>
  </si>
  <si>
    <t>16.20</t>
  </si>
  <si>
    <t>17.1</t>
  </si>
  <si>
    <t>17.2</t>
  </si>
  <si>
    <t>17.3</t>
  </si>
  <si>
    <t>17.4</t>
  </si>
  <si>
    <t>17.5</t>
  </si>
  <si>
    <t>18.1</t>
  </si>
  <si>
    <t>18.2</t>
  </si>
  <si>
    <t>18.3</t>
  </si>
  <si>
    <t>18.4</t>
  </si>
  <si>
    <t>18.5</t>
  </si>
  <si>
    <t>18.6</t>
  </si>
  <si>
    <t>18.7</t>
  </si>
  <si>
    <t>19.1</t>
  </si>
  <si>
    <t>19.2</t>
  </si>
  <si>
    <t>19.3</t>
  </si>
  <si>
    <t>19.4</t>
  </si>
  <si>
    <t>19.5</t>
  </si>
  <si>
    <t>19.6</t>
  </si>
  <si>
    <t>19.7</t>
  </si>
  <si>
    <t>20.1</t>
  </si>
  <si>
    <t>20.2</t>
  </si>
  <si>
    <t>20.3</t>
  </si>
  <si>
    <t>20.4</t>
  </si>
  <si>
    <t>20.5</t>
  </si>
  <si>
    <t>20.6</t>
  </si>
  <si>
    <t>20.7</t>
  </si>
  <si>
    <t>21.1</t>
  </si>
  <si>
    <t>21.2</t>
  </si>
  <si>
    <t>21.3</t>
  </si>
  <si>
    <t>21.4</t>
  </si>
  <si>
    <t>21.5</t>
  </si>
  <si>
    <t>21.6</t>
  </si>
  <si>
    <t xml:space="preserve">Young children, those over 60 years, pregnant women, unborn babies in the womb and those with pre-existing medical conditions such as anaemia, heart or lung conditions. </t>
  </si>
  <si>
    <t>Drainage</t>
  </si>
  <si>
    <t>Bathroom/WC Facilities</t>
  </si>
  <si>
    <t>Pests</t>
  </si>
  <si>
    <t>Domestic Waste</t>
  </si>
  <si>
    <t>General</t>
  </si>
  <si>
    <t>Sources of Ignition</t>
  </si>
  <si>
    <t>Means of Escape</t>
  </si>
  <si>
    <t>Limit Fire Spread</t>
  </si>
  <si>
    <t>Explosion Hazards</t>
  </si>
  <si>
    <t>Falls in Baths</t>
  </si>
  <si>
    <t>Indicators</t>
  </si>
  <si>
    <t>Extreme</t>
  </si>
  <si>
    <t>Severe</t>
  </si>
  <si>
    <t>Serious</t>
  </si>
  <si>
    <t>Moderate</t>
  </si>
  <si>
    <t>Extreme Harm</t>
  </si>
  <si>
    <t>Severe Harm</t>
  </si>
  <si>
    <t>Serious Harm</t>
  </si>
  <si>
    <t>When the National Average and Case Value are equal, the Case Value is prioritised and will appear as “Case: 1” in XXXX.</t>
  </si>
  <si>
    <r>
      <t xml:space="preserve">There may be times when these cells do not auto-size to the text. If this happens, you will need to close </t>
    </r>
    <r>
      <rPr>
        <b/>
        <sz val="16"/>
        <color theme="0"/>
        <rFont val="Calibri"/>
        <family val="2"/>
      </rPr>
      <t>all</t>
    </r>
    <r>
      <rPr>
        <sz val="12"/>
        <color theme="0"/>
        <rFont val="Calibri"/>
        <family val="2"/>
      </rPr>
      <t xml:space="preserve"> Excel windows (remember to save) and restart Excel. This is because the coding needs to reset and not anything to with the spreadsheet itself.</t>
    </r>
  </si>
  <si>
    <t>Spooner HHSRS2 Scoring Sheet developed by 
Safe Suffolk Renters
www.safesuffolkrenters.org</t>
  </si>
  <si>
    <t>Hazard Name</t>
  </si>
  <si>
    <t>BI 1</t>
  </si>
  <si>
    <t>BI 2</t>
  </si>
  <si>
    <t>BI 3</t>
  </si>
  <si>
    <t>BI 4</t>
  </si>
  <si>
    <t>BI 5</t>
  </si>
  <si>
    <t>BI 6</t>
  </si>
  <si>
    <t>BI 7</t>
  </si>
  <si>
    <t>BI 8</t>
  </si>
  <si>
    <t>BI 9</t>
  </si>
  <si>
    <t>BI 10</t>
  </si>
  <si>
    <t>BI 11</t>
  </si>
  <si>
    <t>BI 12</t>
  </si>
  <si>
    <t>BI 13</t>
  </si>
  <si>
    <t>BI 14</t>
  </si>
  <si>
    <t>BI 15</t>
  </si>
  <si>
    <t>BI 16</t>
  </si>
  <si>
    <t>BI 17</t>
  </si>
  <si>
    <t>BI 18</t>
  </si>
  <si>
    <t>BI 19</t>
  </si>
  <si>
    <t>BI 20</t>
  </si>
  <si>
    <t>BI 21</t>
  </si>
  <si>
    <t>BI 22</t>
  </si>
  <si>
    <t>BI 23</t>
  </si>
  <si>
    <t>BI 24</t>
  </si>
  <si>
    <t>BI 25</t>
  </si>
  <si>
    <t>BI 26</t>
  </si>
  <si>
    <t>BI 27</t>
  </si>
  <si>
    <t>BI 28</t>
  </si>
  <si>
    <t>BI 29</t>
  </si>
  <si>
    <t>BI 30</t>
  </si>
  <si>
    <t>BI 31</t>
  </si>
  <si>
    <t>BI 32</t>
  </si>
  <si>
    <t>BI 33</t>
  </si>
  <si>
    <t>BI 34</t>
  </si>
  <si>
    <t>BI 35</t>
  </si>
  <si>
    <t>BI 36</t>
  </si>
  <si>
    <t>MA 1</t>
  </si>
  <si>
    <t xml:space="preserve">MA 2 </t>
  </si>
  <si>
    <t>MA 3</t>
  </si>
  <si>
    <t>MA 4</t>
  </si>
  <si>
    <t>MA 5</t>
  </si>
  <si>
    <t>MA 6</t>
  </si>
  <si>
    <t>MA 7</t>
  </si>
  <si>
    <t>MA 8</t>
  </si>
  <si>
    <t>MA 9</t>
  </si>
  <si>
    <t>MA 10</t>
  </si>
  <si>
    <t>MA 11</t>
  </si>
  <si>
    <t>MA 12</t>
  </si>
  <si>
    <t>MA 13</t>
  </si>
  <si>
    <t>MA 14</t>
  </si>
  <si>
    <t>MA 15</t>
  </si>
  <si>
    <t>MA 16</t>
  </si>
  <si>
    <t>MA 17</t>
  </si>
  <si>
    <t>MA 18</t>
  </si>
  <si>
    <t>MA 19</t>
  </si>
  <si>
    <t>MA 20</t>
  </si>
  <si>
    <t>MA 21</t>
  </si>
  <si>
    <t>Case Like</t>
  </si>
  <si>
    <t>Value Extreme</t>
  </si>
  <si>
    <t>Value Severe</t>
  </si>
  <si>
    <t>Value Serious</t>
  </si>
  <si>
    <t>Justification 2</t>
  </si>
  <si>
    <t>New Likelihood</t>
  </si>
  <si>
    <t>2nd Extreme</t>
  </si>
  <si>
    <t>2nd Severe</t>
  </si>
  <si>
    <t>2nd Serious</t>
  </si>
  <si>
    <t>2nd Justification</t>
  </si>
  <si>
    <t>Moderate Harm</t>
  </si>
  <si>
    <t>Remainder</t>
  </si>
  <si>
    <t>Category 2</t>
  </si>
  <si>
    <t>HIGH</t>
  </si>
  <si>
    <t>MEDIUM</t>
  </si>
  <si>
    <t>LOW</t>
  </si>
  <si>
    <t>ASSESSMENT OF OUTCOMES (HARM). Use the drop downs to input the likelihood for Extreme, Severe, Serious and Moderate harms - Once Extreme, Severe and Serious are entered, Moderate can be selected as "Remainder" to automatically fill to 100% - If completing for Hazard 10 - Radiation, remember to work back from Moderate and have Extreme as your "Remainder"</t>
  </si>
  <si>
    <t>Spooner HHSRS2 Scoring Sheet v2 Instructions - Click Here</t>
  </si>
  <si>
    <t>https://safesuffolkrenters.org/wp-content/uploads/2026/05/Spooner-HHSRS2-Scoring-Sheet-v2-Instructions.docx</t>
  </si>
  <si>
    <t>Baseline Indicator</t>
  </si>
  <si>
    <t>Value Moderate</t>
  </si>
  <si>
    <t>2nd Moderate</t>
  </si>
  <si>
    <t>Property Age and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</si>
</sst>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56" x14ac:knownFonts="1">
    <font>
      <sz val="12"/>
      <color theme="1"/>
      <name val="Calibri"/>
      <family val="2"/>
    </font>
    <font>
      <b/>
      <sz val="12"/>
      <color theme="1"/>
      <name val="Calibri"/>
      <family val="2"/>
    </font>
    <font>
      <sz val="9"/>
      <color indexed="81"/>
      <name val="Tahoma"/>
      <family val="2"/>
    </font>
    <font>
      <b/>
      <sz val="9"/>
      <color indexed="81"/>
      <name val="Tahoma"/>
      <family val="2"/>
    </font>
    <font>
      <sz val="8"/>
      <name val="Calibri"/>
      <family val="2"/>
    </font>
    <font>
      <b/>
      <sz val="20"/>
      <color theme="1"/>
      <name val="Calibri"/>
      <family val="2"/>
    </font>
    <font>
      <b/>
      <sz val="10"/>
      <name val="Calibri"/>
      <family val="2"/>
    </font>
    <font>
      <sz val="12"/>
      <color theme="0"/>
      <name val="Calibri"/>
      <family val="2"/>
    </font>
    <font>
      <sz val="12"/>
      <color theme="1"/>
      <name val="Segoe UI"/>
      <family val="2"/>
    </font>
    <font>
      <b/>
      <sz val="12"/>
      <color rgb="FF0070C0"/>
      <name val="Calibri"/>
      <family val="2"/>
    </font>
    <font>
      <b/>
      <sz val="12"/>
      <color theme="9" tint="-0.249977111117893"/>
      <name val="Calibri"/>
      <family val="2"/>
    </font>
    <font>
      <b/>
      <sz val="12"/>
      <color rgb="FF0070C0"/>
      <name val="Wingdings"/>
      <charset val="2"/>
    </font>
    <font>
      <b/>
      <sz val="12"/>
      <color theme="9" tint="-0.249977111117893"/>
      <name val="Wingdings"/>
      <charset val="2"/>
    </font>
    <font>
      <b/>
      <sz val="12"/>
      <name val="Wingdings"/>
      <charset val="2"/>
    </font>
    <font>
      <b/>
      <sz val="18"/>
      <name val="Calibri"/>
      <family val="2"/>
    </font>
    <font>
      <sz val="18"/>
      <color theme="9" tint="-0.499984740745262"/>
      <name val="Calibri"/>
      <family val="2"/>
    </font>
    <font>
      <sz val="18"/>
      <color rgb="FF0070C0"/>
      <name val="Calibri"/>
      <family val="2"/>
    </font>
    <font>
      <b/>
      <sz val="24"/>
      <color theme="1"/>
      <name val="Calibri"/>
      <family val="2"/>
    </font>
    <font>
      <b/>
      <sz val="26"/>
      <color theme="1"/>
      <name val="Calibri"/>
      <family val="2"/>
    </font>
    <font>
      <b/>
      <sz val="12"/>
      <color theme="1"/>
      <name val="Segoe UI"/>
      <family val="2"/>
    </font>
    <font>
      <b/>
      <sz val="24"/>
      <color rgb="FFFF0000"/>
      <name val="Calibri"/>
      <family val="2"/>
    </font>
    <font>
      <b/>
      <sz val="12"/>
      <name val="Calibri"/>
      <family val="2"/>
    </font>
    <font>
      <sz val="12"/>
      <name val="Calibri"/>
      <family val="2"/>
    </font>
    <font>
      <b/>
      <sz val="20"/>
      <name val="Calibri"/>
      <family val="2"/>
    </font>
    <font>
      <sz val="20"/>
      <color theme="1"/>
      <name val="Calibri"/>
      <family val="2"/>
    </font>
    <font>
      <sz val="14"/>
      <color theme="1"/>
      <name val="Calibri"/>
      <family val="2"/>
    </font>
    <font>
      <b/>
      <sz val="16"/>
      <color theme="1"/>
      <name val="Calibri"/>
      <family val="2"/>
    </font>
    <font>
      <b/>
      <sz val="11"/>
      <name val="Calibri"/>
      <family val="2"/>
    </font>
    <font>
      <sz val="11"/>
      <name val="Calibri"/>
      <family val="2"/>
    </font>
    <font>
      <b/>
      <sz val="22"/>
      <name val="Calibri"/>
      <family val="2"/>
    </font>
    <font>
      <b/>
      <sz val="11"/>
      <color rgb="FFFF0000"/>
      <name val="Calibri"/>
      <family val="2"/>
    </font>
    <font>
      <sz val="11"/>
      <color theme="0"/>
      <name val="Calibri"/>
      <family val="2"/>
    </font>
    <font>
      <b/>
      <sz val="14"/>
      <color theme="1"/>
      <name val="Calibri"/>
      <family val="2"/>
    </font>
    <font>
      <b/>
      <sz val="26"/>
      <color indexed="10"/>
      <name val="Calibri"/>
      <family val="2"/>
    </font>
    <font>
      <b/>
      <sz val="14"/>
      <name val="Calibri"/>
      <family val="2"/>
    </font>
    <font>
      <b/>
      <sz val="16"/>
      <name val="Calibri"/>
      <family val="2"/>
    </font>
    <font>
      <sz val="16"/>
      <name val="Calibri"/>
      <family val="2"/>
    </font>
    <font>
      <sz val="32"/>
      <color theme="1"/>
      <name val="Calibri"/>
      <family val="2"/>
    </font>
    <font>
      <b/>
      <sz val="24"/>
      <name val="Calibri"/>
      <family val="2"/>
    </font>
    <font>
      <sz val="20"/>
      <name val="Calibri"/>
      <family val="2"/>
    </font>
    <font>
      <b/>
      <sz val="26"/>
      <name val="Calibri"/>
      <family val="2"/>
    </font>
    <font>
      <b/>
      <sz val="12"/>
      <color theme="0"/>
      <name val="Calibri"/>
      <family val="2"/>
    </font>
    <font>
      <sz val="26"/>
      <name val="Calibri"/>
      <family val="2"/>
    </font>
    <font>
      <sz val="12"/>
      <color rgb="FF000000"/>
      <name val="Calibri"/>
      <family val="2"/>
    </font>
    <font>
      <sz val="20"/>
      <color theme="0" tint="-0.14999847407452621"/>
      <name val="Calibri"/>
      <family val="2"/>
    </font>
    <font>
      <sz val="12"/>
      <color theme="3" tint="0.499984740745262"/>
      <name val="Calibri"/>
      <family val="2"/>
    </font>
    <font>
      <sz val="14"/>
      <name val="Calibri"/>
      <family val="2"/>
    </font>
    <font>
      <sz val="10"/>
      <color theme="0"/>
      <name val="Calibri"/>
      <family val="2"/>
    </font>
    <font>
      <b/>
      <sz val="16"/>
      <color theme="0"/>
      <name val="Calibri"/>
      <family val="2"/>
    </font>
    <font>
      <sz val="18"/>
      <name val="Calibri"/>
      <family val="2"/>
    </font>
    <font>
      <b/>
      <sz val="18"/>
      <color rgb="FFE48E1B"/>
      <name val="Calibri"/>
      <family val="2"/>
    </font>
    <font>
      <b/>
      <sz val="22"/>
      <color theme="0"/>
      <name val="Calibri"/>
      <family val="2"/>
    </font>
    <font>
      <b/>
      <sz val="15"/>
      <name val="Calibri"/>
      <family val="2"/>
    </font>
    <font>
      <u/>
      <sz val="12"/>
      <color theme="10"/>
      <name val="Calibri"/>
      <family val="2"/>
    </font>
    <font>
      <b/>
      <sz val="28"/>
      <color theme="1"/>
      <name val="Calibri"/>
      <family val="2"/>
    </font>
    <font>
      <sz val="16"/>
      <color theme="1"/>
      <name val="Calibri"/>
      <family val="2"/>
    </font>
  </fonts>
  <fills count="29">
    <fill>
      <patternFill patternType="none"/>
    </fill>
    <fill>
      <patternFill patternType="gray125"/>
    </fill>
    <fill>
      <patternFill patternType="solid">
        <fgColor theme="4" tint="0.79998168889431442"/>
        <bgColor indexed="64"/>
      </patternFill>
    </fill>
    <fill>
      <patternFill patternType="solid">
        <fgColor indexed="27"/>
        <bgColor indexed="41"/>
      </patternFill>
    </fill>
    <fill>
      <patternFill patternType="solid">
        <fgColor rgb="FFFF0000"/>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FF00"/>
        <bgColor indexed="64"/>
      </patternFill>
    </fill>
    <fill>
      <patternFill patternType="solid">
        <fgColor rgb="FF92D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1"/>
        <bgColor indexed="64"/>
      </patternFill>
    </fill>
    <fill>
      <patternFill patternType="solid">
        <fgColor rgb="FFE58E1B"/>
        <bgColor indexed="64"/>
      </patternFill>
    </fill>
    <fill>
      <patternFill patternType="solid">
        <fgColor rgb="FF003366"/>
        <bgColor indexed="64"/>
      </patternFill>
    </fill>
    <fill>
      <patternFill patternType="solid">
        <fgColor rgb="FFA58B5B"/>
        <bgColor indexed="41"/>
      </patternFill>
    </fill>
    <fill>
      <patternFill patternType="solid">
        <fgColor rgb="FF003366"/>
        <bgColor indexed="41"/>
      </patternFill>
    </fill>
    <fill>
      <patternFill patternType="solid">
        <fgColor rgb="FFD4C7B0"/>
        <bgColor indexed="64"/>
      </patternFill>
    </fill>
    <fill>
      <patternFill patternType="solid">
        <fgColor rgb="FFE58E1B"/>
        <bgColor indexed="26"/>
      </patternFill>
    </fill>
    <fill>
      <patternFill patternType="solid">
        <fgColor rgb="FFD4C7B0"/>
        <bgColor indexed="41"/>
      </patternFill>
    </fill>
    <fill>
      <patternFill patternType="solid">
        <fgColor rgb="FF003366"/>
        <bgColor indexed="9"/>
      </patternFill>
    </fill>
    <fill>
      <patternFill patternType="solid">
        <fgColor theme="3" tint="0.89999084444715716"/>
        <bgColor indexed="64"/>
      </patternFill>
    </fill>
    <fill>
      <patternFill patternType="solid">
        <fgColor rgb="FFE58E1B"/>
        <bgColor indexed="41"/>
      </patternFill>
    </fill>
    <fill>
      <patternFill patternType="solid">
        <fgColor rgb="FFE48E1B"/>
        <bgColor indexed="64"/>
      </patternFill>
    </fill>
    <fill>
      <patternFill patternType="solid">
        <fgColor rgb="FFA58B5B"/>
        <bgColor indexed="64"/>
      </patternFill>
    </fill>
    <fill>
      <patternFill patternType="solid">
        <fgColor rgb="FFD4C7B0"/>
        <bgColor indexed="26"/>
      </patternFill>
    </fill>
  </fills>
  <borders count="18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8"/>
      </bottom>
      <diagonal/>
    </border>
    <border>
      <left style="thin">
        <color indexed="8"/>
      </left>
      <right style="thin">
        <color indexed="8"/>
      </right>
      <top/>
      <bottom/>
      <diagonal/>
    </border>
    <border>
      <left style="thin">
        <color indexed="8"/>
      </left>
      <right/>
      <top/>
      <bottom/>
      <diagonal/>
    </border>
    <border>
      <left style="thin">
        <color indexed="8"/>
      </left>
      <right style="thin">
        <color indexed="8"/>
      </right>
      <top style="thin">
        <color indexed="8"/>
      </top>
      <bottom/>
      <diagonal/>
    </border>
    <border>
      <left style="medium">
        <color indexed="8"/>
      </left>
      <right/>
      <top/>
      <bottom/>
      <diagonal/>
    </border>
    <border>
      <left style="thin">
        <color auto="1"/>
      </left>
      <right style="thin">
        <color auto="1"/>
      </right>
      <top style="thin">
        <color auto="1"/>
      </top>
      <bottom/>
      <diagonal/>
    </border>
    <border>
      <left style="medium">
        <color indexed="8"/>
      </left>
      <right/>
      <top/>
      <bottom style="medium">
        <color indexed="8"/>
      </bottom>
      <diagonal/>
    </border>
    <border>
      <left/>
      <right style="medium">
        <color indexed="8"/>
      </right>
      <top style="thin">
        <color indexed="64"/>
      </top>
      <bottom style="thin">
        <color indexed="64"/>
      </bottom>
      <diagonal/>
    </border>
    <border>
      <left style="thin">
        <color indexed="64"/>
      </left>
      <right/>
      <top/>
      <bottom style="thin">
        <color indexed="64"/>
      </bottom>
      <diagonal/>
    </border>
    <border>
      <left style="thin">
        <color indexed="8"/>
      </left>
      <right style="thin">
        <color indexed="8"/>
      </right>
      <top/>
      <bottom style="thin">
        <color indexed="8"/>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auto="1"/>
      </right>
      <top style="thick">
        <color auto="1"/>
      </top>
      <bottom/>
      <diagonal/>
    </border>
    <border>
      <left style="medium">
        <color rgb="FFE6E6E6"/>
      </left>
      <right style="medium">
        <color rgb="FFE6E6E6"/>
      </right>
      <top style="medium">
        <color rgb="FFE6E6E6"/>
      </top>
      <bottom style="medium">
        <color rgb="FFE6E6E6"/>
      </bottom>
      <diagonal/>
    </border>
    <border>
      <left style="medium">
        <color rgb="FFE6E6E6"/>
      </left>
      <right style="medium">
        <color rgb="FFE6E6E6"/>
      </right>
      <top/>
      <bottom/>
      <diagonal/>
    </border>
    <border>
      <left style="thick">
        <color auto="1"/>
      </left>
      <right style="thick">
        <color auto="1"/>
      </right>
      <top/>
      <bottom/>
      <diagonal/>
    </border>
    <border>
      <left/>
      <right style="thin">
        <color indexed="64"/>
      </right>
      <top/>
      <bottom style="thin">
        <color indexed="64"/>
      </bottom>
      <diagonal/>
    </border>
    <border>
      <left/>
      <right/>
      <top/>
      <bottom style="thin">
        <color indexed="64"/>
      </bottom>
      <diagonal/>
    </border>
    <border>
      <left style="thick">
        <color auto="1"/>
      </left>
      <right style="thick">
        <color auto="1"/>
      </right>
      <top/>
      <bottom style="thick">
        <color auto="1"/>
      </bottom>
      <diagonal/>
    </border>
    <border>
      <left/>
      <right style="thick">
        <color auto="1"/>
      </right>
      <top/>
      <bottom/>
      <diagonal/>
    </border>
    <border>
      <left style="thin">
        <color indexed="64"/>
      </left>
      <right/>
      <top/>
      <bottom/>
      <diagonal/>
    </border>
    <border>
      <left style="thin">
        <color auto="1"/>
      </left>
      <right style="thin">
        <color auto="1"/>
      </right>
      <top/>
      <bottom style="thin">
        <color auto="1"/>
      </bottom>
      <diagonal/>
    </border>
    <border>
      <left/>
      <right style="thin">
        <color indexed="64"/>
      </right>
      <top/>
      <bottom/>
      <diagonal/>
    </border>
    <border>
      <left/>
      <right style="medium">
        <color indexed="64"/>
      </right>
      <top/>
      <bottom/>
      <diagonal/>
    </border>
    <border>
      <left style="medium">
        <color rgb="FFE6E6E6"/>
      </left>
      <right style="medium">
        <color rgb="FFE6E6E6"/>
      </right>
      <top style="medium">
        <color rgb="FFE6E6E6"/>
      </top>
      <bottom style="thin">
        <color indexed="64"/>
      </bottom>
      <diagonal/>
    </border>
    <border>
      <left style="medium">
        <color rgb="FFE6E6E6"/>
      </left>
      <right style="medium">
        <color rgb="FFE6E6E6"/>
      </right>
      <top/>
      <bottom style="medium">
        <color rgb="FFE6E6E6"/>
      </bottom>
      <diagonal/>
    </border>
    <border>
      <left/>
      <right/>
      <top/>
      <bottom style="thin">
        <color indexed="64"/>
      </bottom>
      <diagonal/>
    </border>
    <border>
      <left/>
      <right style="medium">
        <color indexed="8"/>
      </right>
      <top/>
      <bottom style="medium">
        <color indexed="8"/>
      </bottom>
      <diagonal/>
    </border>
    <border>
      <left style="thick">
        <color auto="1"/>
      </left>
      <right style="thick">
        <color auto="1"/>
      </right>
      <top style="thick">
        <color auto="1"/>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8"/>
      </top>
      <bottom/>
      <diagonal/>
    </border>
    <border>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8"/>
      </left>
      <right/>
      <top style="medium">
        <color indexed="8"/>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thin">
        <color indexed="8"/>
      </left>
      <right/>
      <top style="medium">
        <color indexed="8"/>
      </top>
      <bottom/>
      <diagonal/>
    </border>
    <border>
      <left/>
      <right/>
      <top style="medium">
        <color indexed="8"/>
      </top>
      <bottom/>
      <diagonal/>
    </border>
    <border>
      <left/>
      <right/>
      <top style="medium">
        <color indexed="64"/>
      </top>
      <bottom/>
      <diagonal/>
    </border>
    <border>
      <left/>
      <right/>
      <top style="medium">
        <color indexed="64"/>
      </top>
      <bottom style="dashDotDot">
        <color indexed="64"/>
      </bottom>
      <diagonal/>
    </border>
    <border>
      <left/>
      <right/>
      <top style="dashDotDot">
        <color indexed="64"/>
      </top>
      <bottom style="dashDotDot">
        <color indexed="64"/>
      </bottom>
      <diagonal/>
    </border>
    <border>
      <left/>
      <right/>
      <top style="dashDotDot">
        <color indexed="64"/>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style="thick">
        <color auto="1"/>
      </left>
      <right/>
      <top/>
      <bottom/>
      <diagonal/>
    </border>
    <border>
      <left style="thick">
        <color auto="1"/>
      </left>
      <right/>
      <top style="medium">
        <color auto="1"/>
      </top>
      <bottom/>
      <diagonal/>
    </border>
    <border>
      <left style="thick">
        <color auto="1"/>
      </left>
      <right/>
      <top/>
      <bottom style="medium">
        <color indexed="64"/>
      </bottom>
      <diagonal/>
    </border>
    <border>
      <left/>
      <right style="medium">
        <color indexed="8"/>
      </right>
      <top/>
      <bottom/>
      <diagonal/>
    </border>
    <border>
      <left/>
      <right style="medium">
        <color indexed="64"/>
      </right>
      <top style="thin">
        <color indexed="64"/>
      </top>
      <bottom style="thin">
        <color indexed="64"/>
      </bottom>
      <diagonal/>
    </border>
    <border>
      <left/>
      <right/>
      <top/>
      <bottom style="thin">
        <color indexed="8"/>
      </bottom>
      <diagonal/>
    </border>
    <border>
      <left style="thin">
        <color indexed="8"/>
      </left>
      <right/>
      <top style="medium">
        <color indexed="8"/>
      </top>
      <bottom style="medium">
        <color indexed="8"/>
      </bottom>
      <diagonal/>
    </border>
    <border>
      <left/>
      <right style="thin">
        <color indexed="8"/>
      </right>
      <top style="medium">
        <color indexed="8"/>
      </top>
      <bottom style="medium">
        <color indexed="8"/>
      </bottom>
      <diagonal/>
    </border>
    <border>
      <left/>
      <right style="medium">
        <color indexed="64"/>
      </right>
      <top/>
      <bottom/>
      <diagonal/>
    </border>
    <border>
      <left/>
      <right/>
      <top style="thin">
        <color indexed="64"/>
      </top>
      <bottom style="thin">
        <color indexed="64"/>
      </bottom>
      <diagonal/>
    </border>
    <border>
      <left/>
      <right/>
      <top style="medium">
        <color auto="1"/>
      </top>
      <bottom style="medium">
        <color auto="1"/>
      </bottom>
      <diagonal/>
    </border>
    <border>
      <left/>
      <right style="thin">
        <color indexed="64"/>
      </right>
      <top style="medium">
        <color auto="1"/>
      </top>
      <bottom style="medium">
        <color auto="1"/>
      </bottom>
      <diagonal/>
    </border>
    <border>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8"/>
      </right>
      <top style="medium">
        <color indexed="8"/>
      </top>
      <bottom style="thin">
        <color indexed="8"/>
      </bottom>
      <diagonal/>
    </border>
    <border>
      <left/>
      <right style="medium">
        <color indexed="8"/>
      </right>
      <top style="medium">
        <color indexed="8"/>
      </top>
      <bottom style="medium">
        <color indexed="8"/>
      </bottom>
      <diagonal/>
    </border>
    <border>
      <left style="thick">
        <color auto="1"/>
      </left>
      <right style="medium">
        <color indexed="64"/>
      </right>
      <top/>
      <bottom/>
      <diagonal/>
    </border>
    <border>
      <left style="thick">
        <color auto="1"/>
      </left>
      <right style="thin">
        <color indexed="8"/>
      </right>
      <top style="thin">
        <color indexed="8"/>
      </top>
      <bottom style="thin">
        <color indexed="8"/>
      </bottom>
      <diagonal/>
    </border>
    <border>
      <left style="thick">
        <color auto="1"/>
      </left>
      <right style="thin">
        <color indexed="8"/>
      </right>
      <top/>
      <bottom/>
      <diagonal/>
    </border>
    <border>
      <left style="thick">
        <color auto="1"/>
      </left>
      <right/>
      <top/>
      <bottom style="medium">
        <color indexed="8"/>
      </bottom>
      <diagonal/>
    </border>
    <border>
      <left style="thick">
        <color auto="1"/>
      </left>
      <right style="thin">
        <color indexed="64"/>
      </right>
      <top style="thin">
        <color indexed="64"/>
      </top>
      <bottom style="thin">
        <color indexed="64"/>
      </bottom>
      <diagonal/>
    </border>
    <border>
      <left style="thick">
        <color auto="1"/>
      </left>
      <right/>
      <top style="medium">
        <color indexed="8"/>
      </top>
      <bottom/>
      <diagonal/>
    </border>
    <border>
      <left/>
      <right/>
      <top style="thick">
        <color auto="1"/>
      </top>
      <bottom/>
      <diagonal/>
    </border>
    <border>
      <left/>
      <right style="thick">
        <color auto="1"/>
      </right>
      <top style="medium">
        <color auto="1"/>
      </top>
      <bottom/>
      <diagonal/>
    </border>
    <border>
      <left/>
      <right style="thick">
        <color indexed="8"/>
      </right>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indexed="8"/>
      </left>
      <right/>
      <top/>
      <bottom/>
      <diagonal/>
    </border>
    <border>
      <left style="thick">
        <color indexed="8"/>
      </left>
      <right/>
      <top/>
      <bottom style="medium">
        <color indexed="8"/>
      </bottom>
      <diagonal/>
    </border>
    <border>
      <left/>
      <right style="thick">
        <color auto="1"/>
      </right>
      <top/>
      <bottom style="medium">
        <color indexed="8"/>
      </bottom>
      <diagonal/>
    </border>
    <border>
      <left style="thick">
        <color indexed="8"/>
      </left>
      <right/>
      <top style="medium">
        <color indexed="8"/>
      </top>
      <bottom/>
      <diagonal/>
    </border>
    <border>
      <left/>
      <right/>
      <top style="medium">
        <color indexed="8"/>
      </top>
      <bottom/>
      <diagonal/>
    </border>
    <border>
      <left/>
      <right style="thick">
        <color auto="1"/>
      </right>
      <top style="medium">
        <color indexed="8"/>
      </top>
      <bottom/>
      <diagonal/>
    </border>
    <border>
      <left style="thick">
        <color indexed="8"/>
      </left>
      <right/>
      <top style="medium">
        <color indexed="8"/>
      </top>
      <bottom style="medium">
        <color indexed="8"/>
      </bottom>
      <diagonal/>
    </border>
    <border>
      <left/>
      <right/>
      <top style="medium">
        <color indexed="8"/>
      </top>
      <bottom style="medium">
        <color indexed="8"/>
      </bottom>
      <diagonal/>
    </border>
    <border>
      <left style="thick">
        <color indexed="64"/>
      </left>
      <right/>
      <top style="thin">
        <color indexed="64"/>
      </top>
      <bottom style="thin">
        <color indexed="64"/>
      </bottom>
      <diagonal/>
    </border>
    <border>
      <left style="thick">
        <color indexed="64"/>
      </left>
      <right/>
      <top/>
      <bottom style="thin">
        <color indexed="64"/>
      </bottom>
      <diagonal/>
    </border>
    <border>
      <left style="thick">
        <color auto="1"/>
      </left>
      <right/>
      <top style="medium">
        <color auto="1"/>
      </top>
      <bottom style="medium">
        <color auto="1"/>
      </bottom>
      <diagonal/>
    </border>
    <border>
      <left style="thick">
        <color indexed="8"/>
      </left>
      <right/>
      <top/>
      <bottom style="thin">
        <color indexed="8"/>
      </bottom>
      <diagonal/>
    </border>
    <border>
      <left style="thick">
        <color indexed="8"/>
      </left>
      <right/>
      <top/>
      <bottom style="thin">
        <color indexed="64"/>
      </bottom>
      <diagonal/>
    </border>
    <border>
      <left/>
      <right style="thick">
        <color auto="1"/>
      </right>
      <top/>
      <bottom style="thin">
        <color indexed="64"/>
      </bottom>
      <diagonal/>
    </border>
    <border>
      <left style="thick">
        <color indexed="8"/>
      </left>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diagonal/>
    </border>
    <border>
      <left/>
      <right style="thick">
        <color auto="1"/>
      </right>
      <top style="thin">
        <color indexed="8"/>
      </top>
      <bottom style="thin">
        <color indexed="8"/>
      </bottom>
      <diagonal/>
    </border>
    <border>
      <left style="thick">
        <color indexed="64"/>
      </left>
      <right/>
      <top style="medium">
        <color indexed="64"/>
      </top>
      <bottom style="dashDotDot">
        <color indexed="64"/>
      </bottom>
      <diagonal/>
    </border>
    <border>
      <left/>
      <right style="thick">
        <color indexed="64"/>
      </right>
      <top style="medium">
        <color indexed="64"/>
      </top>
      <bottom style="dashDotDot">
        <color indexed="64"/>
      </bottom>
      <diagonal/>
    </border>
    <border>
      <left style="thick">
        <color indexed="64"/>
      </left>
      <right/>
      <top style="dashDotDot">
        <color indexed="64"/>
      </top>
      <bottom style="dashDotDot">
        <color indexed="64"/>
      </bottom>
      <diagonal/>
    </border>
    <border>
      <left/>
      <right style="thick">
        <color indexed="64"/>
      </right>
      <top style="dashDotDot">
        <color indexed="64"/>
      </top>
      <bottom style="dashDotDot">
        <color indexed="64"/>
      </bottom>
      <diagonal/>
    </border>
    <border>
      <left style="thick">
        <color indexed="64"/>
      </left>
      <right/>
      <top style="dashDotDot">
        <color indexed="64"/>
      </top>
      <bottom style="medium">
        <color indexed="64"/>
      </bottom>
      <diagonal/>
    </border>
    <border>
      <left/>
      <right style="thick">
        <color indexed="64"/>
      </right>
      <top style="dashDotDot">
        <color indexed="64"/>
      </top>
      <bottom style="medium">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right style="thick">
        <color indexed="64"/>
      </right>
      <top/>
      <bottom style="medium">
        <color indexed="64"/>
      </bottom>
      <diagonal/>
    </border>
    <border>
      <left style="thick">
        <color indexed="64"/>
      </left>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ck">
        <color indexed="8"/>
      </left>
      <right/>
      <top/>
      <bottom style="thick">
        <color indexed="8"/>
      </bottom>
      <diagonal/>
    </border>
    <border>
      <left/>
      <right/>
      <top/>
      <bottom style="thick">
        <color indexed="8"/>
      </bottom>
      <diagonal/>
    </border>
    <border>
      <left/>
      <right style="thick">
        <color indexed="64"/>
      </right>
      <top/>
      <bottom style="thick">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ck">
        <color auto="1"/>
      </right>
      <top style="thin">
        <color indexed="8"/>
      </top>
      <bottom style="thin">
        <color indexed="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auto="1"/>
      </left>
      <right/>
      <top style="thin">
        <color indexed="8"/>
      </top>
      <bottom style="thin">
        <color indexed="8"/>
      </bottom>
      <diagonal/>
    </border>
    <border>
      <left style="thick">
        <color auto="1"/>
      </left>
      <right/>
      <top style="thin">
        <color indexed="8"/>
      </top>
      <bottom style="thin">
        <color indexed="64"/>
      </bottom>
      <diagonal/>
    </border>
    <border>
      <left style="thin">
        <color indexed="64"/>
      </left>
      <right/>
      <top style="thin">
        <color indexed="8"/>
      </top>
      <bottom style="thin">
        <color indexed="8"/>
      </bottom>
      <diagonal/>
    </border>
    <border>
      <left style="thick">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auto="1"/>
      </right>
      <top style="thin">
        <color indexed="64"/>
      </top>
      <bottom style="thin">
        <color indexed="64"/>
      </bottom>
      <diagonal/>
    </border>
    <border>
      <left style="thin">
        <color indexed="8"/>
      </left>
      <right/>
      <top/>
      <bottom style="thin">
        <color indexed="8"/>
      </bottom>
      <diagonal/>
    </border>
    <border>
      <left/>
      <right style="thin">
        <color indexed="8"/>
      </right>
      <top/>
      <bottom style="thin">
        <color indexed="8"/>
      </bottom>
      <diagonal/>
    </border>
    <border>
      <left style="thick">
        <color indexed="8"/>
      </left>
      <right/>
      <top style="thin">
        <color indexed="8"/>
      </top>
      <bottom/>
      <diagonal/>
    </border>
    <border>
      <left/>
      <right/>
      <top style="thin">
        <color indexed="8"/>
      </top>
      <bottom/>
      <diagonal/>
    </border>
    <border>
      <left/>
      <right style="thick">
        <color auto="1"/>
      </right>
      <top style="thin">
        <color indexed="8"/>
      </top>
      <bottom/>
      <diagonal/>
    </border>
    <border>
      <left/>
      <right style="thick">
        <color auto="1"/>
      </right>
      <top/>
      <bottom style="thin">
        <color indexed="8"/>
      </bottom>
      <diagonal/>
    </border>
    <border>
      <left style="thick">
        <color indexed="8"/>
      </left>
      <right/>
      <top style="thin">
        <color indexed="8"/>
      </top>
      <bottom style="thin">
        <color indexed="8"/>
      </bottom>
      <diagonal/>
    </border>
    <border>
      <left style="thick">
        <color auto="1"/>
      </left>
      <right/>
      <top/>
      <bottom style="thin">
        <color indexed="8"/>
      </bottom>
      <diagonal/>
    </border>
    <border>
      <left style="thin">
        <color indexed="64"/>
      </left>
      <right/>
      <top/>
      <bottom style="thin">
        <color indexed="8"/>
      </bottom>
      <diagonal/>
    </border>
    <border>
      <left/>
      <right style="thick">
        <color auto="1"/>
      </right>
      <top style="thick">
        <color auto="1"/>
      </top>
      <bottom style="thick">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medium">
        <color indexed="8"/>
      </bottom>
      <diagonal/>
    </border>
    <border>
      <left style="medium">
        <color indexed="8"/>
      </left>
      <right style="thick">
        <color auto="1"/>
      </right>
      <top style="medium">
        <color indexed="8"/>
      </top>
      <bottom style="medium">
        <color indexed="8"/>
      </bottom>
      <diagonal/>
    </border>
    <border>
      <left style="thin">
        <color indexed="64"/>
      </left>
      <right/>
      <top style="thin">
        <color indexed="8"/>
      </top>
      <bottom style="thin">
        <color indexed="64"/>
      </bottom>
      <diagonal/>
    </border>
    <border>
      <left/>
      <right style="thick">
        <color indexed="64"/>
      </right>
      <top style="thin">
        <color indexed="8"/>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s>
  <cellStyleXfs count="2">
    <xf numFmtId="0" fontId="0" fillId="0" borderId="0"/>
    <xf numFmtId="0" fontId="53" fillId="0" borderId="0" applyNumberFormat="0" applyFill="0" applyBorder="0" applyAlignment="0" applyProtection="0"/>
  </cellStyleXfs>
  <cellXfs count="616">
    <xf numFmtId="0" fontId="0" fillId="0" borderId="0" xfId="0"/>
    <xf numFmtId="0" fontId="0" fillId="0" borderId="0" xfId="0" applyAlignment="1">
      <alignment horizontal="center"/>
    </xf>
    <xf numFmtId="0" fontId="0" fillId="2" borderId="0" xfId="0" applyFill="1" applyAlignment="1">
      <alignment horizontal="center"/>
    </xf>
    <xf numFmtId="0" fontId="0" fillId="9"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0" borderId="0" xfId="0" applyAlignment="1">
      <alignment horizontal="center" vertical="center"/>
    </xf>
    <xf numFmtId="49" fontId="0" fillId="0" borderId="0" xfId="0" applyNumberFormat="1"/>
    <xf numFmtId="0" fontId="8" fillId="10" borderId="23" xfId="0" applyFont="1" applyFill="1" applyBorder="1" applyAlignment="1">
      <alignment horizontal="center" vertical="center" wrapText="1"/>
    </xf>
    <xf numFmtId="0" fontId="8" fillId="12" borderId="23" xfId="0" applyFont="1" applyFill="1" applyBorder="1" applyAlignment="1">
      <alignment vertical="center" wrapText="1"/>
    </xf>
    <xf numFmtId="0" fontId="8" fillId="12" borderId="24" xfId="0" applyFont="1" applyFill="1" applyBorder="1" applyAlignment="1">
      <alignment vertical="center" wrapText="1"/>
    </xf>
    <xf numFmtId="0" fontId="0" fillId="12" borderId="0" xfId="0" applyFill="1" applyAlignment="1">
      <alignment horizontal="center"/>
    </xf>
    <xf numFmtId="0" fontId="8" fillId="10" borderId="35" xfId="0" applyFont="1" applyFill="1" applyBorder="1" applyAlignment="1">
      <alignment horizontal="center" vertical="center" wrapText="1"/>
    </xf>
    <xf numFmtId="0" fontId="19" fillId="10" borderId="34" xfId="0" applyFont="1" applyFill="1" applyBorder="1" applyAlignment="1">
      <alignment horizontal="center" vertical="center" wrapText="1"/>
    </xf>
    <xf numFmtId="0" fontId="8" fillId="12" borderId="35" xfId="0" applyFont="1" applyFill="1" applyBorder="1" applyAlignment="1">
      <alignment vertical="center" wrapText="1"/>
    </xf>
    <xf numFmtId="0" fontId="0" fillId="12" borderId="27" xfId="0" applyFill="1" applyBorder="1"/>
    <xf numFmtId="0" fontId="0" fillId="0" borderId="0" xfId="0" applyAlignment="1">
      <alignment horizontal="left"/>
    </xf>
    <xf numFmtId="0" fontId="0" fillId="0" borderId="0" xfId="0" applyAlignment="1">
      <alignment horizontal="left" vertical="center"/>
    </xf>
    <xf numFmtId="0" fontId="0" fillId="13" borderId="41" xfId="0" applyFill="1" applyBorder="1"/>
    <xf numFmtId="0" fontId="0" fillId="13" borderId="42" xfId="0" applyFill="1" applyBorder="1"/>
    <xf numFmtId="0" fontId="0" fillId="13" borderId="43" xfId="0" applyFill="1" applyBorder="1"/>
    <xf numFmtId="0" fontId="0" fillId="13" borderId="41" xfId="0" applyFill="1" applyBorder="1" applyAlignment="1">
      <alignment horizontal="center" vertical="center"/>
    </xf>
    <xf numFmtId="0" fontId="0" fillId="13" borderId="42" xfId="0" applyFill="1" applyBorder="1" applyAlignment="1">
      <alignment horizontal="center" vertical="center"/>
    </xf>
    <xf numFmtId="0" fontId="0" fillId="13" borderId="42" xfId="0" applyFill="1" applyBorder="1" applyAlignment="1">
      <alignment wrapText="1"/>
    </xf>
    <xf numFmtId="0" fontId="0" fillId="15" borderId="0" xfId="0" applyFill="1" applyAlignment="1">
      <alignment horizontal="left" vertical="center"/>
    </xf>
    <xf numFmtId="0" fontId="0" fillId="0" borderId="29" xfId="0" applyBorder="1" applyAlignment="1">
      <alignment horizontal="left" vertical="center"/>
    </xf>
    <xf numFmtId="0" fontId="0" fillId="0" borderId="29" xfId="0" applyBorder="1"/>
    <xf numFmtId="0" fontId="0" fillId="0" borderId="0" xfId="0" applyAlignment="1">
      <alignment horizontal="left" vertical="center" wrapText="1"/>
    </xf>
    <xf numFmtId="0" fontId="0" fillId="5" borderId="44" xfId="0" applyFill="1" applyBorder="1"/>
    <xf numFmtId="0" fontId="26" fillId="5" borderId="45" xfId="0" applyFont="1" applyFill="1" applyBorder="1" applyAlignment="1">
      <alignment horizontal="center"/>
    </xf>
    <xf numFmtId="0" fontId="28" fillId="16" borderId="19" xfId="0" applyFont="1" applyFill="1" applyBorder="1" applyAlignment="1" applyProtection="1">
      <alignment horizontal="center" vertical="center"/>
      <protection hidden="1"/>
    </xf>
    <xf numFmtId="0" fontId="27" fillId="17" borderId="0" xfId="0" applyFont="1" applyFill="1" applyAlignment="1" applyProtection="1">
      <alignment vertical="center"/>
      <protection hidden="1"/>
    </xf>
    <xf numFmtId="0" fontId="27" fillId="0" borderId="11" xfId="0" applyFont="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28" fillId="17" borderId="0" xfId="0" applyFont="1" applyFill="1" applyAlignment="1" applyProtection="1">
      <alignment horizontal="left" vertical="center"/>
      <protection hidden="1"/>
    </xf>
    <xf numFmtId="0" fontId="28" fillId="0" borderId="0" xfId="0" applyFont="1" applyAlignment="1" applyProtection="1">
      <alignment horizontal="left" vertical="center"/>
      <protection hidden="1"/>
    </xf>
    <xf numFmtId="0" fontId="30" fillId="0" borderId="0" xfId="0" applyFont="1" applyAlignment="1" applyProtection="1">
      <alignment horizontal="center" vertical="center"/>
      <protection hidden="1"/>
    </xf>
    <xf numFmtId="0" fontId="27" fillId="0" borderId="0" xfId="0" applyFont="1" applyAlignment="1" applyProtection="1">
      <alignment horizontal="left" vertical="center"/>
      <protection hidden="1"/>
    </xf>
    <xf numFmtId="0" fontId="22" fillId="5" borderId="1" xfId="0" applyFont="1" applyFill="1" applyBorder="1" applyAlignment="1" applyProtection="1">
      <alignment horizontal="center" vertical="center" wrapText="1"/>
      <protection hidden="1"/>
    </xf>
    <xf numFmtId="0" fontId="28" fillId="16" borderId="0" xfId="0" applyFont="1" applyFill="1" applyAlignment="1" applyProtection="1">
      <alignment horizontal="left" vertical="center"/>
      <protection hidden="1"/>
    </xf>
    <xf numFmtId="0" fontId="14" fillId="0" borderId="25" xfId="0" applyFont="1" applyBorder="1" applyAlignment="1" applyProtection="1">
      <alignment horizontal="center" vertical="center"/>
      <protection hidden="1"/>
    </xf>
    <xf numFmtId="0" fontId="0" fillId="0" borderId="0" xfId="0" applyAlignment="1" applyProtection="1">
      <alignment horizontal="center" wrapText="1"/>
      <protection hidden="1"/>
    </xf>
    <xf numFmtId="0" fontId="27" fillId="0" borderId="0" xfId="0" applyFont="1" applyAlignment="1" applyProtection="1">
      <alignment horizontal="center" vertical="center"/>
      <protection hidden="1"/>
    </xf>
    <xf numFmtId="1" fontId="37" fillId="20" borderId="1" xfId="0" applyNumberFormat="1" applyFont="1" applyFill="1" applyBorder="1" applyAlignment="1" applyProtection="1">
      <alignment horizontal="center" vertical="center"/>
      <protection locked="0"/>
    </xf>
    <xf numFmtId="0" fontId="14" fillId="0" borderId="28" xfId="0" applyFont="1" applyBorder="1" applyAlignment="1" applyProtection="1">
      <alignment horizontal="center" vertical="center" wrapText="1"/>
      <protection hidden="1"/>
    </xf>
    <xf numFmtId="0" fontId="14" fillId="0" borderId="38" xfId="0" applyFont="1" applyBorder="1" applyAlignment="1" applyProtection="1">
      <alignment horizontal="center" vertical="center" wrapText="1"/>
      <protection hidden="1"/>
    </xf>
    <xf numFmtId="0" fontId="14" fillId="20" borderId="38" xfId="0" applyFont="1" applyFill="1" applyBorder="1" applyAlignment="1" applyProtection="1">
      <alignment horizontal="center" vertical="center" wrapText="1"/>
      <protection locked="0"/>
    </xf>
    <xf numFmtId="0" fontId="27" fillId="16" borderId="0" xfId="0" applyFont="1" applyFill="1" applyAlignment="1" applyProtection="1">
      <alignment horizontal="center" vertical="center"/>
      <protection hidden="1"/>
    </xf>
    <xf numFmtId="0" fontId="28" fillId="0" borderId="0" xfId="0" applyFont="1" applyAlignment="1" applyProtection="1">
      <alignment horizontal="center" vertical="center"/>
      <protection hidden="1"/>
    </xf>
    <xf numFmtId="0" fontId="27" fillId="0" borderId="53" xfId="0" applyFont="1" applyBorder="1" applyAlignment="1" applyProtection="1">
      <alignment horizontal="center" vertical="center"/>
      <protection hidden="1"/>
    </xf>
    <xf numFmtId="0" fontId="0" fillId="0" borderId="0" xfId="0" applyAlignment="1">
      <alignment vertical="center"/>
    </xf>
    <xf numFmtId="0" fontId="0" fillId="0" borderId="0" xfId="0" applyAlignment="1">
      <alignment horizontal="center" wrapText="1"/>
    </xf>
    <xf numFmtId="0" fontId="28" fillId="0" borderId="0" xfId="0" applyFont="1"/>
    <xf numFmtId="0" fontId="23" fillId="20" borderId="55" xfId="0"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38" fillId="20" borderId="55" xfId="0" applyFont="1" applyFill="1" applyBorder="1" applyAlignment="1" applyProtection="1">
      <alignment horizontal="center" vertical="center"/>
      <protection locked="0"/>
    </xf>
    <xf numFmtId="0" fontId="0" fillId="0" borderId="42" xfId="0" applyBorder="1"/>
    <xf numFmtId="49" fontId="0" fillId="0" borderId="42" xfId="0" applyNumberFormat="1" applyBorder="1"/>
    <xf numFmtId="0" fontId="0" fillId="0" borderId="29" xfId="0" applyBorder="1" applyAlignment="1">
      <alignment horizontal="left" vertical="center" wrapText="1"/>
    </xf>
    <xf numFmtId="0" fontId="0" fillId="15" borderId="0" xfId="0" applyFill="1" applyAlignment="1">
      <alignment horizontal="left" vertical="center" wrapText="1"/>
    </xf>
    <xf numFmtId="0" fontId="0" fillId="0" borderId="0" xfId="0" applyAlignment="1">
      <alignment vertical="center" wrapText="1"/>
    </xf>
    <xf numFmtId="0" fontId="45" fillId="20" borderId="55" xfId="0" applyFont="1" applyFill="1" applyBorder="1" applyAlignment="1">
      <alignment horizontal="center" vertical="center"/>
    </xf>
    <xf numFmtId="0" fontId="0" fillId="27" borderId="55" xfId="0" applyFill="1" applyBorder="1" applyAlignment="1">
      <alignment horizontal="center" vertical="center"/>
    </xf>
    <xf numFmtId="0" fontId="0" fillId="27" borderId="55" xfId="0" applyFill="1" applyBorder="1"/>
    <xf numFmtId="0" fontId="28" fillId="23" borderId="10" xfId="0" applyFont="1" applyFill="1" applyBorder="1" applyAlignment="1" applyProtection="1">
      <alignment horizontal="center" vertical="center"/>
      <protection hidden="1"/>
    </xf>
    <xf numFmtId="0" fontId="0" fillId="0" borderId="0" xfId="0" applyAlignment="1">
      <alignment wrapText="1"/>
    </xf>
    <xf numFmtId="49" fontId="0" fillId="0" borderId="0" xfId="0" applyNumberFormat="1" applyAlignment="1">
      <alignment horizontal="center" vertical="center"/>
    </xf>
    <xf numFmtId="49" fontId="0" fillId="0" borderId="0" xfId="0" applyNumberFormat="1" applyAlignment="1">
      <alignment horizontal="center"/>
    </xf>
    <xf numFmtId="49" fontId="0" fillId="0" borderId="0" xfId="0" applyNumberFormat="1" applyAlignment="1">
      <alignment horizontal="center" vertical="center" wrapText="1"/>
    </xf>
    <xf numFmtId="0" fontId="22" fillId="8" borderId="1" xfId="0" applyFont="1" applyFill="1" applyBorder="1" applyAlignment="1" applyProtection="1">
      <alignment horizontal="center" vertical="center" wrapText="1"/>
      <protection hidden="1"/>
    </xf>
    <xf numFmtId="0" fontId="22" fillId="4" borderId="1" xfId="0" applyFont="1" applyFill="1" applyBorder="1" applyAlignment="1" applyProtection="1">
      <alignment horizontal="center" vertical="center" wrapText="1"/>
      <protection hidden="1"/>
    </xf>
    <xf numFmtId="0" fontId="22" fillId="7" borderId="1" xfId="0" applyFont="1" applyFill="1" applyBorder="1" applyAlignment="1" applyProtection="1">
      <alignment horizontal="center" vertical="center" wrapText="1"/>
      <protection hidden="1"/>
    </xf>
    <xf numFmtId="0" fontId="52" fillId="16" borderId="56" xfId="0" applyFont="1" applyFill="1" applyBorder="1" applyAlignment="1" applyProtection="1">
      <alignment horizontal="center" vertical="center"/>
      <protection hidden="1"/>
    </xf>
    <xf numFmtId="0" fontId="52" fillId="16" borderId="55" xfId="0" applyFont="1" applyFill="1" applyBorder="1" applyAlignment="1" applyProtection="1">
      <alignment horizontal="center" vertical="center"/>
      <protection hidden="1"/>
    </xf>
    <xf numFmtId="0" fontId="28" fillId="16" borderId="101" xfId="0" applyFont="1" applyFill="1" applyBorder="1" applyAlignment="1" applyProtection="1">
      <alignment horizontal="center" vertical="center"/>
      <protection hidden="1"/>
    </xf>
    <xf numFmtId="0" fontId="27" fillId="0" borderId="102" xfId="0" applyFont="1" applyBorder="1" applyAlignment="1" applyProtection="1">
      <alignment horizontal="center" vertical="center"/>
      <protection hidden="1"/>
    </xf>
    <xf numFmtId="0" fontId="28" fillId="23" borderId="103" xfId="0" applyFont="1" applyFill="1" applyBorder="1" applyAlignment="1" applyProtection="1">
      <alignment horizontal="center" vertical="center"/>
      <protection hidden="1"/>
    </xf>
    <xf numFmtId="0" fontId="28" fillId="0" borderId="78" xfId="0" applyFont="1" applyBorder="1" applyAlignment="1" applyProtection="1">
      <alignment horizontal="left" vertical="center"/>
      <protection hidden="1"/>
    </xf>
    <xf numFmtId="0" fontId="22" fillId="5" borderId="104" xfId="0" applyFont="1" applyFill="1" applyBorder="1" applyAlignment="1" applyProtection="1">
      <alignment horizontal="center" vertical="center" wrapText="1"/>
      <protection hidden="1"/>
    </xf>
    <xf numFmtId="0" fontId="0" fillId="0" borderId="78" xfId="0" applyBorder="1"/>
    <xf numFmtId="0" fontId="0" fillId="0" borderId="78" xfId="0" applyBorder="1" applyAlignment="1" applyProtection="1">
      <alignment horizontal="center" wrapText="1"/>
      <protection hidden="1"/>
    </xf>
    <xf numFmtId="0" fontId="33" fillId="17" borderId="78" xfId="0" applyFont="1" applyFill="1" applyBorder="1" applyAlignment="1" applyProtection="1">
      <alignment horizontal="center" vertical="center"/>
      <protection hidden="1"/>
    </xf>
    <xf numFmtId="0" fontId="27" fillId="0" borderId="105" xfId="0" applyFont="1" applyBorder="1" applyAlignment="1" applyProtection="1">
      <alignment horizontal="center" vertical="center"/>
      <protection hidden="1"/>
    </xf>
    <xf numFmtId="0" fontId="0" fillId="0" borderId="106" xfId="0" applyBorder="1"/>
    <xf numFmtId="0" fontId="22" fillId="7" borderId="109" xfId="0" applyFont="1" applyFill="1" applyBorder="1" applyAlignment="1" applyProtection="1">
      <alignment horizontal="center" vertical="center" wrapText="1"/>
      <protection hidden="1"/>
    </xf>
    <xf numFmtId="0" fontId="0" fillId="24" borderId="156" xfId="0" applyFill="1" applyBorder="1" applyAlignment="1">
      <alignment horizontal="center" vertical="center"/>
    </xf>
    <xf numFmtId="0" fontId="0" fillId="0" borderId="156" xfId="0" applyBorder="1"/>
    <xf numFmtId="0" fontId="0" fillId="0" borderId="43" xfId="0" applyBorder="1"/>
    <xf numFmtId="0" fontId="47" fillId="17" borderId="111" xfId="0" applyFont="1" applyFill="1" applyBorder="1" applyAlignment="1">
      <alignment vertical="center" wrapText="1"/>
    </xf>
    <xf numFmtId="0" fontId="47" fillId="17" borderId="112" xfId="0" applyFont="1" applyFill="1" applyBorder="1" applyAlignment="1">
      <alignment vertical="center" wrapText="1"/>
    </xf>
    <xf numFmtId="0" fontId="47" fillId="17" borderId="113" xfId="0" applyFont="1" applyFill="1" applyBorder="1" applyAlignment="1">
      <alignment vertical="center" wrapText="1"/>
    </xf>
    <xf numFmtId="0" fontId="0" fillId="17" borderId="0" xfId="0" applyFill="1" applyAlignment="1">
      <alignment horizontal="center"/>
    </xf>
    <xf numFmtId="0" fontId="0" fillId="17" borderId="78" xfId="0" applyFill="1" applyBorder="1" applyAlignment="1">
      <alignment horizontal="center"/>
    </xf>
    <xf numFmtId="0" fontId="0" fillId="17" borderId="78" xfId="0" applyFill="1" applyBorder="1"/>
    <xf numFmtId="0" fontId="0" fillId="17" borderId="0" xfId="0" applyFill="1"/>
    <xf numFmtId="0" fontId="20" fillId="17" borderId="0" xfId="0" applyFont="1" applyFill="1" applyAlignment="1">
      <alignment horizontal="center" vertical="center"/>
    </xf>
    <xf numFmtId="0" fontId="0" fillId="17" borderId="0" xfId="0" applyFill="1" applyAlignment="1">
      <alignment horizontal="center" vertical="center"/>
    </xf>
    <xf numFmtId="0" fontId="23" fillId="17" borderId="0" xfId="0" applyFont="1" applyFill="1" applyAlignment="1">
      <alignment horizontal="center" vertical="center"/>
    </xf>
    <xf numFmtId="0" fontId="22" fillId="17" borderId="0" xfId="0" applyFont="1" applyFill="1" applyAlignment="1">
      <alignment horizontal="center" vertical="center"/>
    </xf>
    <xf numFmtId="0" fontId="28" fillId="18" borderId="101" xfId="0" applyFont="1" applyFill="1" applyBorder="1" applyAlignment="1">
      <alignment horizontal="center" vertical="center"/>
    </xf>
    <xf numFmtId="0" fontId="28" fillId="18" borderId="13" xfId="0" applyFont="1" applyFill="1" applyBorder="1" applyAlignment="1">
      <alignment horizontal="center" vertical="center"/>
    </xf>
    <xf numFmtId="0" fontId="0" fillId="17" borderId="12" xfId="0" applyFill="1" applyBorder="1"/>
    <xf numFmtId="0" fontId="28" fillId="19" borderId="0" xfId="0" applyFont="1" applyFill="1" applyAlignment="1">
      <alignment vertical="center"/>
    </xf>
    <xf numFmtId="0" fontId="0" fillId="17" borderId="79" xfId="0" applyFill="1" applyBorder="1"/>
    <xf numFmtId="0" fontId="0" fillId="17" borderId="69" xfId="0" applyFill="1" applyBorder="1"/>
    <xf numFmtId="0" fontId="0" fillId="17" borderId="107" xfId="0" applyFill="1" applyBorder="1"/>
    <xf numFmtId="0" fontId="0" fillId="17" borderId="29" xfId="0" applyFill="1" applyBorder="1"/>
    <xf numFmtId="165" fontId="46" fillId="0" borderId="172" xfId="0" applyNumberFormat="1" applyFont="1" applyBorder="1" applyAlignment="1">
      <alignment horizontal="center" vertical="center" wrapText="1"/>
    </xf>
    <xf numFmtId="165" fontId="46" fillId="0" borderId="157" xfId="0" applyNumberFormat="1" applyFont="1" applyBorder="1" applyAlignment="1">
      <alignment horizontal="center" vertical="center" wrapText="1"/>
    </xf>
    <xf numFmtId="165" fontId="46" fillId="0" borderId="158" xfId="0" applyNumberFormat="1" applyFont="1" applyBorder="1" applyAlignment="1">
      <alignment horizontal="center" vertical="center" wrapText="1"/>
    </xf>
    <xf numFmtId="0" fontId="0" fillId="17" borderId="110" xfId="0" applyFill="1" applyBorder="1"/>
    <xf numFmtId="0" fontId="27" fillId="3" borderId="0" xfId="0" applyFont="1" applyFill="1" applyAlignment="1">
      <alignment horizontal="center" vertical="center"/>
    </xf>
    <xf numFmtId="0" fontId="13" fillId="16" borderId="22" xfId="0" applyFont="1" applyFill="1" applyBorder="1" applyAlignment="1">
      <alignment horizontal="center" vertical="center"/>
    </xf>
    <xf numFmtId="0" fontId="11" fillId="16" borderId="29" xfId="0" applyFont="1" applyFill="1" applyBorder="1" applyAlignment="1">
      <alignment horizontal="center" vertical="center"/>
    </xf>
    <xf numFmtId="0" fontId="13" fillId="16" borderId="25" xfId="0" applyFont="1" applyFill="1" applyBorder="1" applyAlignment="1">
      <alignment horizontal="center" vertical="center"/>
    </xf>
    <xf numFmtId="0" fontId="12" fillId="16" borderId="22" xfId="0" applyFont="1" applyFill="1" applyBorder="1" applyAlignment="1">
      <alignment horizontal="center" vertical="center"/>
    </xf>
    <xf numFmtId="164" fontId="0" fillId="5" borderId="104" xfId="0" applyNumberFormat="1" applyFill="1" applyBorder="1" applyAlignment="1">
      <alignment horizontal="center" vertical="center" wrapText="1"/>
    </xf>
    <xf numFmtId="164" fontId="0" fillId="5" borderId="1" xfId="0" applyNumberFormat="1" applyFill="1" applyBorder="1" applyAlignment="1">
      <alignment horizontal="center" vertical="center" wrapText="1"/>
    </xf>
    <xf numFmtId="164" fontId="0" fillId="6" borderId="1" xfId="0" applyNumberFormat="1" applyFill="1" applyBorder="1" applyAlignment="1">
      <alignment horizontal="center" vertical="center" wrapText="1"/>
    </xf>
    <xf numFmtId="164" fontId="0" fillId="8" borderId="1" xfId="0" applyNumberFormat="1" applyFill="1" applyBorder="1" applyAlignment="1">
      <alignment horizontal="center" vertical="center" wrapText="1"/>
    </xf>
    <xf numFmtId="164" fontId="7" fillId="4" borderId="1" xfId="0" applyNumberFormat="1" applyFont="1" applyFill="1" applyBorder="1" applyAlignment="1">
      <alignment horizontal="center" vertical="center" wrapText="1"/>
    </xf>
    <xf numFmtId="0" fontId="14" fillId="0" borderId="28" xfId="0" applyFont="1" applyBorder="1" applyAlignment="1">
      <alignment horizontal="center" vertical="center"/>
    </xf>
    <xf numFmtId="0" fontId="0" fillId="0" borderId="78" xfId="0" applyBorder="1" applyAlignment="1">
      <alignment horizontal="center" wrapText="1"/>
    </xf>
    <xf numFmtId="0" fontId="15" fillId="0" borderId="25" xfId="0" applyFont="1" applyBorder="1" applyAlignment="1">
      <alignment horizontal="center" vertical="center"/>
    </xf>
    <xf numFmtId="0" fontId="16" fillId="0" borderId="25" xfId="0" applyFont="1" applyBorder="1" applyAlignment="1">
      <alignment horizontal="center" vertical="center"/>
    </xf>
    <xf numFmtId="9" fontId="0" fillId="5" borderId="104" xfId="0" applyNumberFormat="1" applyFill="1" applyBorder="1" applyAlignment="1">
      <alignment horizontal="center" vertical="center" wrapText="1"/>
    </xf>
    <xf numFmtId="9" fontId="0" fillId="5" borderId="1" xfId="0" applyNumberFormat="1" applyFill="1" applyBorder="1" applyAlignment="1">
      <alignment horizontal="center" vertical="center" wrapText="1"/>
    </xf>
    <xf numFmtId="9" fontId="0" fillId="6" borderId="1" xfId="0" applyNumberFormat="1" applyFill="1" applyBorder="1" applyAlignment="1">
      <alignment horizontal="center" vertical="center" wrapText="1"/>
    </xf>
    <xf numFmtId="9" fontId="0" fillId="8" borderId="1" xfId="0" applyNumberFormat="1" applyFill="1" applyBorder="1" applyAlignment="1">
      <alignment horizontal="center" vertical="center" wrapText="1"/>
    </xf>
    <xf numFmtId="9" fontId="7" fillId="4" borderId="1" xfId="0" applyNumberFormat="1" applyFont="1" applyFill="1" applyBorder="1" applyAlignment="1">
      <alignment horizontal="center" vertical="center" wrapText="1"/>
    </xf>
    <xf numFmtId="0" fontId="14" fillId="0" borderId="38" xfId="0" applyFont="1" applyBorder="1" applyAlignment="1">
      <alignment horizontal="center" vertical="center" wrapText="1"/>
    </xf>
    <xf numFmtId="0" fontId="14" fillId="0" borderId="38" xfId="0" applyFont="1" applyBorder="1" applyAlignment="1">
      <alignment horizontal="center" vertical="center"/>
    </xf>
    <xf numFmtId="0" fontId="14" fillId="0" borderId="28" xfId="0" applyFont="1" applyBorder="1" applyAlignment="1">
      <alignment horizontal="center" vertical="center" wrapText="1"/>
    </xf>
    <xf numFmtId="0" fontId="28" fillId="17" borderId="0" xfId="0" applyFont="1" applyFill="1" applyAlignment="1">
      <alignment horizontal="left" vertical="center"/>
    </xf>
    <xf numFmtId="0" fontId="0" fillId="13" borderId="184" xfId="0" applyFill="1" applyBorder="1"/>
    <xf numFmtId="0" fontId="0" fillId="13" borderId="183" xfId="0" applyFill="1" applyBorder="1"/>
    <xf numFmtId="0" fontId="0" fillId="13" borderId="182" xfId="0" applyFill="1" applyBorder="1"/>
    <xf numFmtId="0" fontId="14" fillId="20" borderId="28" xfId="0" applyFont="1" applyFill="1" applyBorder="1" applyAlignment="1" applyProtection="1">
      <alignment horizontal="center" vertical="center" wrapText="1"/>
      <protection locked="0"/>
    </xf>
    <xf numFmtId="1" fontId="27" fillId="0" borderId="53" xfId="0" applyNumberFormat="1" applyFont="1" applyBorder="1" applyAlignment="1" applyProtection="1">
      <alignment horizontal="center" vertical="center"/>
      <protection hidden="1"/>
    </xf>
    <xf numFmtId="0" fontId="53" fillId="0" borderId="0" xfId="1"/>
    <xf numFmtId="0" fontId="0" fillId="24" borderId="183" xfId="0" applyFill="1" applyBorder="1" applyAlignment="1">
      <alignment horizontal="center" vertical="center"/>
    </xf>
    <xf numFmtId="0" fontId="0" fillId="17" borderId="78" xfId="0" applyFill="1" applyBorder="1" applyAlignment="1">
      <alignment horizontal="center"/>
    </xf>
    <xf numFmtId="0" fontId="0" fillId="17" borderId="0" xfId="0" applyFill="1" applyAlignment="1">
      <alignment horizontal="center"/>
    </xf>
    <xf numFmtId="0" fontId="0" fillId="17" borderId="110" xfId="0" applyFill="1" applyBorder="1" applyAlignment="1">
      <alignment horizontal="center"/>
    </xf>
    <xf numFmtId="0" fontId="0" fillId="17" borderId="80" xfId="0" applyFill="1" applyBorder="1" applyAlignment="1">
      <alignment horizontal="center"/>
    </xf>
    <xf numFmtId="0" fontId="0" fillId="17" borderId="7" xfId="0" applyFill="1" applyBorder="1" applyAlignment="1">
      <alignment horizontal="center"/>
    </xf>
    <xf numFmtId="0" fontId="0" fillId="17" borderId="141" xfId="0" applyFill="1" applyBorder="1" applyAlignment="1">
      <alignment horizontal="center"/>
    </xf>
    <xf numFmtId="0" fontId="53" fillId="26" borderId="142" xfId="1" applyFill="1" applyBorder="1" applyAlignment="1" applyProtection="1">
      <alignment horizontal="center" vertical="center"/>
      <protection locked="0"/>
    </xf>
    <xf numFmtId="0" fontId="53" fillId="26" borderId="106" xfId="1" applyFill="1" applyBorder="1" applyAlignment="1" applyProtection="1">
      <alignment horizontal="center" vertical="center"/>
      <protection locked="0"/>
    </xf>
    <xf numFmtId="0" fontId="53" fillId="26" borderId="22" xfId="1" applyFill="1" applyBorder="1" applyAlignment="1" applyProtection="1">
      <alignment horizontal="center" vertical="center"/>
      <protection locked="0"/>
    </xf>
    <xf numFmtId="0" fontId="53" fillId="26" borderId="78" xfId="1" applyFill="1" applyBorder="1" applyAlignment="1" applyProtection="1">
      <alignment horizontal="center" vertical="center"/>
      <protection locked="0"/>
    </xf>
    <xf numFmtId="0" fontId="53" fillId="26" borderId="0" xfId="1" applyFill="1" applyBorder="1" applyAlignment="1" applyProtection="1">
      <alignment horizontal="center" vertical="center"/>
      <protection locked="0"/>
    </xf>
    <xf numFmtId="0" fontId="53" fillId="26" borderId="110" xfId="1" applyFill="1" applyBorder="1" applyAlignment="1" applyProtection="1">
      <alignment horizontal="center" vertical="center"/>
      <protection locked="0"/>
    </xf>
    <xf numFmtId="0" fontId="53" fillId="26" borderId="185" xfId="1" applyFill="1" applyBorder="1" applyAlignment="1" applyProtection="1">
      <alignment horizontal="center" vertical="center"/>
      <protection locked="0"/>
    </xf>
    <xf numFmtId="0" fontId="53" fillId="26" borderId="186" xfId="1" applyFill="1" applyBorder="1" applyAlignment="1" applyProtection="1">
      <alignment horizontal="center" vertical="center"/>
      <protection locked="0"/>
    </xf>
    <xf numFmtId="0" fontId="53" fillId="26" borderId="187" xfId="1" applyFill="1" applyBorder="1" applyAlignment="1" applyProtection="1">
      <alignment horizontal="center" vertical="center"/>
      <protection locked="0"/>
    </xf>
    <xf numFmtId="0" fontId="47" fillId="17" borderId="142" xfId="0" applyFont="1" applyFill="1" applyBorder="1" applyAlignment="1">
      <alignment horizontal="center" vertical="center" wrapText="1"/>
    </xf>
    <xf numFmtId="0" fontId="47" fillId="17" borderId="106" xfId="0" applyFont="1" applyFill="1" applyBorder="1" applyAlignment="1">
      <alignment horizontal="center" vertical="center" wrapText="1"/>
    </xf>
    <xf numFmtId="0" fontId="47" fillId="17" borderId="78" xfId="0" applyFont="1" applyFill="1" applyBorder="1" applyAlignment="1">
      <alignment horizontal="center" vertical="center" wrapText="1"/>
    </xf>
    <xf numFmtId="0" fontId="47" fillId="17" borderId="0" xfId="0" applyFont="1" applyFill="1" applyAlignment="1">
      <alignment horizontal="center" vertical="center" wrapText="1"/>
    </xf>
    <xf numFmtId="0" fontId="47" fillId="17" borderId="22" xfId="0" applyFont="1" applyFill="1" applyBorder="1" applyAlignment="1">
      <alignment horizontal="center" vertical="center" wrapText="1"/>
    </xf>
    <xf numFmtId="0" fontId="47" fillId="17" borderId="110" xfId="0" applyFont="1" applyFill="1" applyBorder="1" applyAlignment="1">
      <alignment horizontal="center" vertical="center" wrapText="1"/>
    </xf>
    <xf numFmtId="0" fontId="22" fillId="0" borderId="43" xfId="0" applyFont="1" applyBorder="1" applyAlignment="1">
      <alignment horizontal="left" vertical="center" wrapText="1"/>
    </xf>
    <xf numFmtId="0" fontId="36" fillId="20" borderId="180" xfId="0" applyFont="1" applyFill="1" applyBorder="1" applyAlignment="1" applyProtection="1">
      <alignment horizontal="center" vertical="center"/>
      <protection locked="0"/>
    </xf>
    <xf numFmtId="0" fontId="36" fillId="20" borderId="181" xfId="0" applyFont="1" applyFill="1" applyBorder="1" applyAlignment="1" applyProtection="1">
      <alignment horizontal="center" vertical="center"/>
      <protection locked="0"/>
    </xf>
    <xf numFmtId="0" fontId="36" fillId="20" borderId="154" xfId="0" applyFont="1" applyFill="1" applyBorder="1" applyAlignment="1" applyProtection="1">
      <alignment horizontal="center" vertical="center"/>
      <protection locked="0"/>
    </xf>
    <xf numFmtId="0" fontId="36" fillId="20" borderId="164" xfId="0" applyFont="1" applyFill="1" applyBorder="1" applyAlignment="1" applyProtection="1">
      <alignment horizontal="center" vertical="center"/>
      <protection locked="0"/>
    </xf>
    <xf numFmtId="0" fontId="0" fillId="0" borderId="104" xfId="0" applyBorder="1" applyAlignment="1">
      <alignment horizontal="left" vertical="center"/>
    </xf>
    <xf numFmtId="0" fontId="0" fillId="0" borderId="97" xfId="0" applyBorder="1" applyAlignment="1">
      <alignment horizontal="left" vertical="center"/>
    </xf>
    <xf numFmtId="0" fontId="22" fillId="0" borderId="97" xfId="0" applyFont="1" applyBorder="1" applyAlignment="1" applyProtection="1">
      <alignment vertical="center" wrapText="1"/>
      <protection hidden="1"/>
    </xf>
    <xf numFmtId="0" fontId="22" fillId="0" borderId="97" xfId="0" applyFont="1" applyBorder="1" applyAlignment="1" applyProtection="1">
      <alignment horizontal="left" vertical="center" wrapText="1"/>
      <protection hidden="1"/>
    </xf>
    <xf numFmtId="0" fontId="48" fillId="17" borderId="114" xfId="0" applyFont="1" applyFill="1" applyBorder="1" applyAlignment="1">
      <alignment horizontal="center" vertical="center"/>
    </xf>
    <xf numFmtId="0" fontId="35" fillId="17" borderId="0" xfId="0" applyFont="1" applyFill="1" applyAlignment="1">
      <alignment horizontal="center" vertical="center"/>
    </xf>
    <xf numFmtId="0" fontId="35" fillId="17" borderId="110" xfId="0" applyFont="1" applyFill="1" applyBorder="1" applyAlignment="1">
      <alignment horizontal="center" vertical="center"/>
    </xf>
    <xf numFmtId="0" fontId="36" fillId="28" borderId="95" xfId="0" applyFont="1" applyFill="1" applyBorder="1" applyAlignment="1" applyProtection="1">
      <alignment horizontal="center" vertical="center" wrapText="1"/>
      <protection locked="0" hidden="1"/>
    </xf>
    <xf numFmtId="0" fontId="36" fillId="28" borderId="96" xfId="0" applyFont="1" applyFill="1" applyBorder="1" applyAlignment="1" applyProtection="1">
      <alignment horizontal="center" vertical="center" wrapText="1"/>
      <protection locked="0" hidden="1"/>
    </xf>
    <xf numFmtId="0" fontId="14" fillId="17" borderId="171" xfId="0" applyFont="1" applyFill="1" applyBorder="1" applyAlignment="1">
      <alignment horizontal="center" vertical="top"/>
    </xf>
    <xf numFmtId="0" fontId="14" fillId="17" borderId="151" xfId="0" applyFont="1" applyFill="1" applyBorder="1" applyAlignment="1">
      <alignment horizontal="center" vertical="top"/>
    </xf>
    <xf numFmtId="0" fontId="14" fillId="17" borderId="153" xfId="0" applyFont="1" applyFill="1" applyBorder="1" applyAlignment="1">
      <alignment horizontal="center" vertical="top"/>
    </xf>
    <xf numFmtId="0" fontId="36" fillId="20" borderId="151" xfId="0" applyFont="1" applyFill="1" applyBorder="1" applyAlignment="1" applyProtection="1">
      <alignment horizontal="center" vertical="center"/>
      <protection locked="0"/>
    </xf>
    <xf numFmtId="0" fontId="36" fillId="20" borderId="94" xfId="0" applyFont="1" applyFill="1" applyBorder="1" applyAlignment="1" applyProtection="1">
      <alignment horizontal="center" vertical="center"/>
      <protection locked="0"/>
    </xf>
    <xf numFmtId="0" fontId="45" fillId="0" borderId="134" xfId="0" applyFont="1" applyBorder="1" applyAlignment="1">
      <alignment horizontal="center" vertical="center"/>
    </xf>
    <xf numFmtId="0" fontId="45" fillId="0" borderId="71" xfId="0" applyFont="1" applyBorder="1" applyAlignment="1">
      <alignment horizontal="center" vertical="center"/>
    </xf>
    <xf numFmtId="0" fontId="45" fillId="0" borderId="135" xfId="0" applyFont="1" applyBorder="1" applyAlignment="1">
      <alignment horizontal="center" vertical="center"/>
    </xf>
    <xf numFmtId="0" fontId="45" fillId="0" borderId="136" xfId="0" applyFont="1" applyBorder="1" applyAlignment="1">
      <alignment horizontal="center" vertical="center"/>
    </xf>
    <xf numFmtId="0" fontId="45" fillId="0" borderId="72" xfId="0" applyFont="1" applyBorder="1" applyAlignment="1">
      <alignment horizontal="center" vertical="center"/>
    </xf>
    <xf numFmtId="0" fontId="45" fillId="0" borderId="137" xfId="0" applyFont="1" applyBorder="1" applyAlignment="1">
      <alignment horizontal="center" vertical="center"/>
    </xf>
    <xf numFmtId="0" fontId="36" fillId="20" borderId="131" xfId="0" applyFont="1" applyFill="1" applyBorder="1" applyAlignment="1" applyProtection="1">
      <alignment horizontal="center" vertical="center"/>
      <protection locked="0"/>
    </xf>
    <xf numFmtId="0" fontId="26" fillId="26" borderId="138" xfId="0" applyFont="1" applyFill="1" applyBorder="1" applyAlignment="1">
      <alignment horizontal="center" vertical="center"/>
    </xf>
    <xf numFmtId="0" fontId="26" fillId="26" borderId="139" xfId="0" applyFont="1" applyFill="1" applyBorder="1" applyAlignment="1">
      <alignment horizontal="center" vertical="center"/>
    </xf>
    <xf numFmtId="0" fontId="26" fillId="26" borderId="140" xfId="0" applyFont="1" applyFill="1" applyBorder="1" applyAlignment="1">
      <alignment horizontal="center" vertical="center"/>
    </xf>
    <xf numFmtId="0" fontId="26" fillId="26" borderId="80" xfId="0" applyFont="1" applyFill="1" applyBorder="1" applyAlignment="1">
      <alignment horizontal="center" vertical="center"/>
    </xf>
    <xf numFmtId="0" fontId="26" fillId="26" borderId="7" xfId="0" applyFont="1" applyFill="1" applyBorder="1" applyAlignment="1">
      <alignment horizontal="center" vertical="center"/>
    </xf>
    <xf numFmtId="0" fontId="26" fillId="26" borderId="141" xfId="0" applyFont="1" applyFill="1" applyBorder="1" applyAlignment="1">
      <alignment horizontal="center" vertical="center"/>
    </xf>
    <xf numFmtId="0" fontId="14" fillId="26" borderId="171" xfId="0" applyFont="1" applyFill="1" applyBorder="1" applyAlignment="1">
      <alignment horizontal="center" vertical="top"/>
    </xf>
    <xf numFmtId="0" fontId="14" fillId="26" borderId="151" xfId="0" applyFont="1" applyFill="1" applyBorder="1" applyAlignment="1">
      <alignment horizontal="center" vertical="top"/>
    </xf>
    <xf numFmtId="0" fontId="14" fillId="26" borderId="152" xfId="0" applyFont="1" applyFill="1" applyBorder="1" applyAlignment="1">
      <alignment horizontal="center" vertical="top"/>
    </xf>
    <xf numFmtId="0" fontId="36" fillId="20" borderId="90" xfId="0" applyFont="1" applyFill="1" applyBorder="1" applyAlignment="1" applyProtection="1">
      <alignment horizontal="center" vertical="center"/>
      <protection locked="0"/>
    </xf>
    <xf numFmtId="0" fontId="50" fillId="26" borderId="151" xfId="0" applyFont="1" applyFill="1" applyBorder="1" applyAlignment="1">
      <alignment horizontal="center" vertical="top"/>
    </xf>
    <xf numFmtId="0" fontId="50" fillId="26" borderId="153" xfId="0" applyFont="1" applyFill="1" applyBorder="1" applyAlignment="1">
      <alignment horizontal="center" vertical="top"/>
    </xf>
    <xf numFmtId="0" fontId="55" fillId="20" borderId="159" xfId="0" applyFont="1" applyFill="1" applyBorder="1" applyAlignment="1" applyProtection="1">
      <alignment horizontal="center" vertical="center"/>
      <protection locked="0"/>
    </xf>
    <xf numFmtId="0" fontId="55" fillId="20" borderId="153" xfId="0" applyFont="1" applyFill="1" applyBorder="1" applyAlignment="1" applyProtection="1">
      <alignment horizontal="center" vertical="center"/>
      <protection locked="0"/>
    </xf>
    <xf numFmtId="0" fontId="14" fillId="21" borderId="114" xfId="0" applyFont="1" applyFill="1" applyBorder="1" applyAlignment="1" applyProtection="1">
      <alignment horizontal="center" vertical="center"/>
      <protection hidden="1"/>
    </xf>
    <xf numFmtId="0" fontId="14" fillId="21" borderId="0" xfId="0" applyFont="1" applyFill="1" applyAlignment="1" applyProtection="1">
      <alignment horizontal="center" vertical="center"/>
      <protection hidden="1"/>
    </xf>
    <xf numFmtId="0" fontId="14" fillId="21" borderId="110" xfId="0" applyFont="1" applyFill="1" applyBorder="1" applyAlignment="1" applyProtection="1">
      <alignment horizontal="center" vertical="center"/>
      <protection hidden="1"/>
    </xf>
    <xf numFmtId="0" fontId="14" fillId="21" borderId="115" xfId="0" applyFont="1" applyFill="1" applyBorder="1" applyAlignment="1" applyProtection="1">
      <alignment horizontal="center" vertical="center"/>
      <protection hidden="1"/>
    </xf>
    <xf numFmtId="0" fontId="14" fillId="21" borderId="10" xfId="0" applyFont="1" applyFill="1" applyBorder="1" applyAlignment="1" applyProtection="1">
      <alignment horizontal="center" vertical="center"/>
      <protection hidden="1"/>
    </xf>
    <xf numFmtId="0" fontId="14" fillId="21" borderId="116" xfId="0" applyFont="1" applyFill="1" applyBorder="1" applyAlignment="1" applyProtection="1">
      <alignment horizontal="center" vertical="center"/>
      <protection hidden="1"/>
    </xf>
    <xf numFmtId="0" fontId="0" fillId="17" borderId="117" xfId="0" applyFill="1" applyBorder="1" applyAlignment="1">
      <alignment horizontal="center"/>
    </xf>
    <xf numFmtId="0" fontId="0" fillId="17" borderId="118" xfId="0" applyFill="1" applyBorder="1" applyAlignment="1">
      <alignment horizontal="center"/>
    </xf>
    <xf numFmtId="0" fontId="0" fillId="17" borderId="119" xfId="0" applyFill="1" applyBorder="1" applyAlignment="1">
      <alignment horizontal="center"/>
    </xf>
    <xf numFmtId="0" fontId="39" fillId="0" borderId="58" xfId="0" applyFont="1" applyBorder="1" applyAlignment="1">
      <alignment horizontal="center"/>
    </xf>
    <xf numFmtId="0" fontId="39" fillId="0" borderId="56" xfId="0" applyFont="1" applyBorder="1" applyAlignment="1">
      <alignment horizontal="center"/>
    </xf>
    <xf numFmtId="0" fontId="1" fillId="16" borderId="55" xfId="0" applyFont="1" applyFill="1" applyBorder="1" applyAlignment="1">
      <alignment horizontal="center" vertical="center"/>
    </xf>
    <xf numFmtId="0" fontId="0" fillId="16" borderId="122" xfId="0" applyFill="1" applyBorder="1" applyAlignment="1">
      <alignment horizontal="right" vertical="center"/>
    </xf>
    <xf numFmtId="0" fontId="0" fillId="16" borderId="87" xfId="0" applyFill="1" applyBorder="1" applyAlignment="1">
      <alignment horizontal="right" vertical="center"/>
    </xf>
    <xf numFmtId="0" fontId="0" fillId="16" borderId="155" xfId="0" applyFill="1" applyBorder="1" applyAlignment="1">
      <alignment horizontal="right" vertical="center"/>
    </xf>
    <xf numFmtId="0" fontId="0" fillId="17" borderId="32" xfId="0" applyFill="1" applyBorder="1" applyAlignment="1">
      <alignment horizontal="center"/>
    </xf>
    <xf numFmtId="0" fontId="20" fillId="17" borderId="0" xfId="0" applyFont="1" applyFill="1" applyAlignment="1">
      <alignment horizontal="center" vertical="center"/>
    </xf>
    <xf numFmtId="0" fontId="25" fillId="20" borderId="154" xfId="0" applyFont="1" applyFill="1" applyBorder="1" applyAlignment="1" applyProtection="1">
      <alignment vertical="center"/>
      <protection locked="0"/>
    </xf>
    <xf numFmtId="0" fontId="25" fillId="20" borderId="87" xfId="0" applyFont="1" applyFill="1" applyBorder="1" applyAlignment="1" applyProtection="1">
      <alignment vertical="center"/>
      <protection locked="0"/>
    </xf>
    <xf numFmtId="0" fontId="25" fillId="20" borderId="164" xfId="0" applyFont="1" applyFill="1" applyBorder="1" applyAlignment="1" applyProtection="1">
      <alignment vertical="center"/>
      <protection locked="0"/>
    </xf>
    <xf numFmtId="0" fontId="0" fillId="0" borderId="51" xfId="0" applyBorder="1" applyAlignment="1">
      <alignment horizontal="left" vertical="center" wrapText="1"/>
    </xf>
    <xf numFmtId="0" fontId="0" fillId="0" borderId="50" xfId="0" applyBorder="1" applyAlignment="1">
      <alignment horizontal="left" vertical="center" wrapText="1"/>
    </xf>
    <xf numFmtId="0" fontId="0" fillId="0" borderId="57" xfId="0" applyBorder="1" applyAlignment="1">
      <alignment horizontal="left" vertical="center" wrapText="1"/>
    </xf>
    <xf numFmtId="0" fontId="0" fillId="0" borderId="0" xfId="0" applyAlignment="1">
      <alignment horizontal="center"/>
    </xf>
    <xf numFmtId="0" fontId="34" fillId="0" borderId="73" xfId="0" applyFont="1" applyBorder="1" applyAlignment="1" applyProtection="1">
      <alignment horizontal="center" vertical="center"/>
      <protection hidden="1"/>
    </xf>
    <xf numFmtId="0" fontId="34" fillId="0" borderId="75" xfId="0" applyFont="1" applyBorder="1" applyAlignment="1" applyProtection="1">
      <alignment horizontal="center" vertical="center"/>
      <protection hidden="1"/>
    </xf>
    <xf numFmtId="0" fontId="34" fillId="22" borderId="73" xfId="0" applyFont="1" applyFill="1" applyBorder="1" applyAlignment="1" applyProtection="1">
      <alignment horizontal="center" vertical="center"/>
      <protection locked="0"/>
    </xf>
    <xf numFmtId="0" fontId="34" fillId="22" borderId="75" xfId="0" applyFont="1" applyFill="1" applyBorder="1" applyAlignment="1" applyProtection="1">
      <alignment horizontal="center" vertical="center"/>
      <protection locked="0"/>
    </xf>
    <xf numFmtId="0" fontId="34" fillId="20" borderId="73" xfId="0" applyFont="1" applyFill="1" applyBorder="1" applyAlignment="1" applyProtection="1">
      <alignment horizontal="center" vertical="center"/>
      <protection locked="0"/>
    </xf>
    <xf numFmtId="0" fontId="34" fillId="20" borderId="75" xfId="0" applyFont="1" applyFill="1" applyBorder="1" applyAlignment="1" applyProtection="1">
      <alignment horizontal="center" vertical="center"/>
      <protection locked="0"/>
    </xf>
    <xf numFmtId="0" fontId="1" fillId="16" borderId="20" xfId="0" applyFont="1" applyFill="1" applyBorder="1" applyAlignment="1">
      <alignment horizontal="left" vertical="center"/>
    </xf>
    <xf numFmtId="0" fontId="1" fillId="16" borderId="21" xfId="0" applyFont="1" applyFill="1" applyBorder="1" applyAlignment="1">
      <alignment horizontal="left" vertical="center"/>
    </xf>
    <xf numFmtId="0" fontId="21" fillId="16" borderId="20" xfId="0" applyFont="1" applyFill="1" applyBorder="1" applyAlignment="1">
      <alignment horizontal="center" vertical="center"/>
    </xf>
    <xf numFmtId="0" fontId="21" fillId="16" borderId="21" xfId="0" applyFont="1" applyFill="1" applyBorder="1" applyAlignment="1">
      <alignment horizontal="center" vertical="center"/>
    </xf>
    <xf numFmtId="0" fontId="21" fillId="16" borderId="174" xfId="0" applyFont="1" applyFill="1" applyBorder="1" applyAlignment="1">
      <alignment horizontal="center" vertical="center"/>
    </xf>
    <xf numFmtId="0" fontId="6" fillId="16" borderId="123" xfId="0" applyFont="1" applyFill="1" applyBorder="1" applyAlignment="1" applyProtection="1">
      <alignment horizontal="center" vertical="center"/>
      <protection hidden="1"/>
    </xf>
    <xf numFmtId="0" fontId="6" fillId="16" borderId="36" xfId="0" applyFont="1" applyFill="1" applyBorder="1" applyAlignment="1" applyProtection="1">
      <alignment horizontal="center" vertical="center"/>
      <protection hidden="1"/>
    </xf>
    <xf numFmtId="0" fontId="26" fillId="16" borderId="124" xfId="0" applyFont="1" applyFill="1" applyBorder="1"/>
    <xf numFmtId="0" fontId="26" fillId="16" borderId="88" xfId="0" applyFont="1" applyFill="1" applyBorder="1"/>
    <xf numFmtId="0" fontId="26" fillId="16" borderId="89" xfId="0" applyFont="1" applyFill="1" applyBorder="1"/>
    <xf numFmtId="0" fontId="0" fillId="5" borderId="122" xfId="0" applyFill="1" applyBorder="1" applyAlignment="1">
      <alignment horizontal="center" vertical="center" wrapText="1"/>
    </xf>
    <xf numFmtId="0" fontId="0" fillId="5" borderId="96"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87" xfId="0" applyFill="1" applyBorder="1" applyAlignment="1">
      <alignment horizontal="center" vertical="center" wrapText="1"/>
    </xf>
    <xf numFmtId="0" fontId="0" fillId="6" borderId="56" xfId="0" applyFill="1" applyBorder="1" applyAlignment="1">
      <alignment horizontal="center" vertical="center" wrapText="1"/>
    </xf>
    <xf numFmtId="0" fontId="27" fillId="17" borderId="0" xfId="0" applyFont="1" applyFill="1" applyAlignment="1" applyProtection="1">
      <alignment horizontal="center" vertical="center"/>
      <protection hidden="1"/>
    </xf>
    <xf numFmtId="0" fontId="21" fillId="25" borderId="117" xfId="0" applyFont="1" applyFill="1" applyBorder="1" applyAlignment="1">
      <alignment horizontal="center" vertical="center" wrapText="1"/>
    </xf>
    <xf numFmtId="0" fontId="21" fillId="25" borderId="118" xfId="0" applyFont="1" applyFill="1" applyBorder="1" applyAlignment="1">
      <alignment horizontal="center" vertical="center" wrapText="1"/>
    </xf>
    <xf numFmtId="0" fontId="21" fillId="25" borderId="119" xfId="0" applyFont="1" applyFill="1" applyBorder="1" applyAlignment="1">
      <alignment horizontal="center" vertical="center" wrapText="1"/>
    </xf>
    <xf numFmtId="0" fontId="21" fillId="25" borderId="114" xfId="0" applyFont="1" applyFill="1" applyBorder="1" applyAlignment="1">
      <alignment horizontal="center" vertical="center" wrapText="1"/>
    </xf>
    <xf numFmtId="0" fontId="21" fillId="25" borderId="0" xfId="0" applyFont="1" applyFill="1" applyAlignment="1">
      <alignment horizontal="center" vertical="center" wrapText="1"/>
    </xf>
    <xf numFmtId="0" fontId="21" fillId="25" borderId="110" xfId="0" applyFont="1" applyFill="1" applyBorder="1" applyAlignment="1">
      <alignment horizontal="center" vertical="center" wrapText="1"/>
    </xf>
    <xf numFmtId="0" fontId="28" fillId="17" borderId="114" xfId="0" applyFont="1" applyFill="1" applyBorder="1" applyAlignment="1" applyProtection="1">
      <alignment horizontal="center" vertical="center"/>
      <protection hidden="1"/>
    </xf>
    <xf numFmtId="0" fontId="28" fillId="17" borderId="0" xfId="0" applyFont="1" applyFill="1" applyAlignment="1" applyProtection="1">
      <alignment horizontal="center" vertical="center"/>
      <protection hidden="1"/>
    </xf>
    <xf numFmtId="0" fontId="28" fillId="17" borderId="81" xfId="0" applyFont="1" applyFill="1" applyBorder="1" applyAlignment="1" applyProtection="1">
      <alignment horizontal="center" vertical="center"/>
      <protection hidden="1"/>
    </xf>
    <xf numFmtId="0" fontId="28" fillId="19" borderId="147" xfId="0" applyFont="1" applyFill="1" applyBorder="1" applyAlignment="1">
      <alignment horizontal="center" vertical="center" wrapText="1"/>
    </xf>
    <xf numFmtId="0" fontId="28" fillId="19" borderId="148" xfId="0" applyFont="1" applyFill="1" applyBorder="1" applyAlignment="1">
      <alignment horizontal="center" vertical="center" wrapText="1"/>
    </xf>
    <xf numFmtId="0" fontId="28" fillId="19" borderId="149" xfId="0" applyFont="1" applyFill="1" applyBorder="1" applyAlignment="1">
      <alignment horizontal="center" vertical="center" wrapText="1"/>
    </xf>
    <xf numFmtId="0" fontId="38" fillId="0" borderId="65" xfId="0" applyFont="1" applyBorder="1" applyAlignment="1" applyProtection="1">
      <alignment horizontal="center" vertical="center"/>
      <protection hidden="1"/>
    </xf>
    <xf numFmtId="0" fontId="38" fillId="0" borderId="0" xfId="0" applyFont="1" applyAlignment="1" applyProtection="1">
      <alignment horizontal="center" vertical="center"/>
      <protection hidden="1"/>
    </xf>
    <xf numFmtId="0" fontId="38" fillId="0" borderId="66" xfId="0" applyFont="1" applyBorder="1" applyAlignment="1" applyProtection="1">
      <alignment horizontal="center" vertical="center"/>
      <protection hidden="1"/>
    </xf>
    <xf numFmtId="0" fontId="38" fillId="0" borderId="8" xfId="0" applyFont="1" applyBorder="1" applyAlignment="1" applyProtection="1">
      <alignment horizontal="center" vertical="center"/>
      <protection hidden="1"/>
    </xf>
    <xf numFmtId="0" fontId="38" fillId="0" borderId="7" xfId="0" applyFont="1" applyBorder="1" applyAlignment="1" applyProtection="1">
      <alignment horizontal="center" vertical="center"/>
      <protection hidden="1"/>
    </xf>
    <xf numFmtId="0" fontId="38" fillId="0" borderId="9" xfId="0" applyFont="1" applyBorder="1" applyAlignment="1" applyProtection="1">
      <alignment horizontal="center" vertical="center"/>
      <protection hidden="1"/>
    </xf>
    <xf numFmtId="0" fontId="38" fillId="0" borderId="86" xfId="0" applyFont="1" applyBorder="1" applyAlignment="1" applyProtection="1">
      <alignment horizontal="center" vertical="center"/>
      <protection hidden="1"/>
    </xf>
    <xf numFmtId="1" fontId="18" fillId="0" borderId="65" xfId="0" applyNumberFormat="1" applyFont="1" applyBorder="1" applyAlignment="1">
      <alignment horizontal="center" vertical="center"/>
    </xf>
    <xf numFmtId="1" fontId="18" fillId="0" borderId="0" xfId="0" applyNumberFormat="1" applyFont="1" applyAlignment="1">
      <alignment horizontal="center" vertical="center"/>
    </xf>
    <xf numFmtId="1" fontId="18" fillId="0" borderId="86" xfId="0" applyNumberFormat="1" applyFont="1" applyBorder="1" applyAlignment="1">
      <alignment horizontal="center" vertical="center"/>
    </xf>
    <xf numFmtId="1" fontId="18" fillId="0" borderId="8" xfId="0" applyNumberFormat="1" applyFont="1" applyBorder="1" applyAlignment="1">
      <alignment horizontal="center" vertical="center"/>
    </xf>
    <xf numFmtId="1" fontId="18" fillId="0" borderId="7" xfId="0" applyNumberFormat="1" applyFont="1" applyBorder="1" applyAlignment="1">
      <alignment horizontal="center" vertical="center"/>
    </xf>
    <xf numFmtId="1" fontId="18" fillId="0" borderId="9" xfId="0" applyNumberFormat="1" applyFont="1" applyBorder="1" applyAlignment="1">
      <alignment horizontal="center" vertical="center"/>
    </xf>
    <xf numFmtId="0" fontId="1" fillId="16" borderId="161" xfId="0" applyFont="1" applyFill="1" applyBorder="1" applyAlignment="1">
      <alignment horizontal="center"/>
    </xf>
    <xf numFmtId="0" fontId="1" fillId="16" borderId="162" xfId="0" applyFont="1" applyFill="1" applyBorder="1" applyAlignment="1">
      <alignment horizontal="center"/>
    </xf>
    <xf numFmtId="0" fontId="1" fillId="16" borderId="163" xfId="0" applyFont="1" applyFill="1" applyBorder="1" applyAlignment="1">
      <alignment horizontal="center"/>
    </xf>
    <xf numFmtId="0" fontId="17" fillId="0" borderId="65" xfId="0" applyFont="1" applyBorder="1" applyAlignment="1">
      <alignment horizontal="center"/>
    </xf>
    <xf numFmtId="0" fontId="17" fillId="0" borderId="0" xfId="0" applyFont="1" applyAlignment="1">
      <alignment horizontal="center"/>
    </xf>
    <xf numFmtId="0" fontId="17" fillId="0" borderId="86" xfId="0" applyFont="1" applyBorder="1" applyAlignment="1">
      <alignment horizontal="center"/>
    </xf>
    <xf numFmtId="0" fontId="17" fillId="0" borderId="8" xfId="0" applyFont="1" applyBorder="1" applyAlignment="1">
      <alignment horizontal="center"/>
    </xf>
    <xf numFmtId="0" fontId="17" fillId="0" borderId="7" xfId="0" applyFont="1" applyBorder="1" applyAlignment="1">
      <alignment horizontal="center"/>
    </xf>
    <xf numFmtId="0" fontId="17" fillId="0" borderId="9" xfId="0" applyFont="1" applyBorder="1" applyAlignment="1">
      <alignment horizontal="center"/>
    </xf>
    <xf numFmtId="0" fontId="28" fillId="19" borderId="100" xfId="0" applyFont="1" applyFill="1" applyBorder="1" applyAlignment="1">
      <alignment horizontal="center" vertical="center" wrapText="1"/>
    </xf>
    <xf numFmtId="0" fontId="28" fillId="19" borderId="65" xfId="0" applyFont="1" applyFill="1" applyBorder="1" applyAlignment="1">
      <alignment horizontal="center" vertical="center"/>
    </xf>
    <xf numFmtId="0" fontId="28" fillId="19" borderId="66" xfId="0" applyFont="1" applyFill="1" applyBorder="1" applyAlignment="1">
      <alignment horizontal="center" vertical="center"/>
    </xf>
    <xf numFmtId="0" fontId="28" fillId="19" borderId="65" xfId="0" applyFont="1" applyFill="1" applyBorder="1" applyAlignment="1">
      <alignment horizontal="center" vertical="center" wrapText="1"/>
    </xf>
    <xf numFmtId="0" fontId="28" fillId="19" borderId="66" xfId="0" applyFont="1" applyFill="1" applyBorder="1" applyAlignment="1">
      <alignment horizontal="center" vertical="center" wrapText="1"/>
    </xf>
    <xf numFmtId="0" fontId="28" fillId="19" borderId="0" xfId="0" applyFont="1" applyFill="1" applyAlignment="1">
      <alignment horizontal="center" vertical="center" wrapText="1"/>
    </xf>
    <xf numFmtId="0" fontId="28" fillId="17" borderId="68" xfId="0" applyFont="1" applyFill="1" applyBorder="1" applyAlignment="1" applyProtection="1">
      <alignment horizontal="center" vertical="center"/>
      <protection hidden="1"/>
    </xf>
    <xf numFmtId="0" fontId="28" fillId="17" borderId="54" xfId="0" applyFont="1" applyFill="1" applyBorder="1" applyAlignment="1" applyProtection="1">
      <alignment horizontal="center" vertical="center"/>
      <protection hidden="1"/>
    </xf>
    <xf numFmtId="0" fontId="0" fillId="17" borderId="14" xfId="0" applyFill="1" applyBorder="1" applyAlignment="1">
      <alignment horizontal="center"/>
    </xf>
    <xf numFmtId="0" fontId="0" fillId="17" borderId="81" xfId="0" applyFill="1" applyBorder="1" applyAlignment="1">
      <alignment horizontal="center"/>
    </xf>
    <xf numFmtId="0" fontId="0" fillId="17" borderId="115" xfId="0" applyFill="1" applyBorder="1" applyAlignment="1">
      <alignment horizontal="center"/>
    </xf>
    <xf numFmtId="0" fontId="0" fillId="17" borderId="10" xfId="0" applyFill="1" applyBorder="1" applyAlignment="1">
      <alignment horizontal="center"/>
    </xf>
    <xf numFmtId="0" fontId="0" fillId="17" borderId="116" xfId="0" applyFill="1" applyBorder="1" applyAlignment="1">
      <alignment horizontal="center"/>
    </xf>
    <xf numFmtId="0" fontId="28" fillId="19" borderId="78" xfId="0" applyFont="1" applyFill="1" applyBorder="1" applyAlignment="1">
      <alignment horizontal="center" vertical="center" wrapText="1"/>
    </xf>
    <xf numFmtId="0" fontId="28" fillId="19" borderId="110" xfId="0" applyFont="1" applyFill="1" applyBorder="1" applyAlignment="1">
      <alignment horizontal="center" vertical="center" wrapText="1"/>
    </xf>
    <xf numFmtId="0" fontId="21" fillId="25" borderId="175" xfId="0" applyFont="1" applyFill="1" applyBorder="1" applyAlignment="1">
      <alignment horizontal="center" vertical="center" wrapText="1"/>
    </xf>
    <xf numFmtId="0" fontId="21" fillId="25" borderId="88" xfId="0" applyFont="1" applyFill="1" applyBorder="1" applyAlignment="1">
      <alignment horizontal="center" vertical="center" wrapText="1"/>
    </xf>
    <xf numFmtId="0" fontId="21" fillId="25" borderId="176" xfId="0" applyFont="1" applyFill="1" applyBorder="1" applyAlignment="1">
      <alignment horizontal="center" vertical="center" wrapText="1"/>
    </xf>
    <xf numFmtId="0" fontId="28" fillId="22" borderId="117" xfId="0" applyFont="1" applyFill="1" applyBorder="1" applyAlignment="1" applyProtection="1">
      <alignment horizontal="left" vertical="center" wrapText="1"/>
      <protection locked="0"/>
    </xf>
    <xf numFmtId="0" fontId="28" fillId="22" borderId="118" xfId="0" applyFont="1" applyFill="1" applyBorder="1" applyAlignment="1" applyProtection="1">
      <alignment horizontal="left" vertical="center" wrapText="1"/>
      <protection locked="0"/>
    </xf>
    <xf numFmtId="0" fontId="28" fillId="22" borderId="119" xfId="0" applyFont="1" applyFill="1" applyBorder="1" applyAlignment="1" applyProtection="1">
      <alignment horizontal="left" vertical="center" wrapText="1"/>
      <protection locked="0"/>
    </xf>
    <xf numFmtId="0" fontId="28" fillId="22" borderId="114" xfId="0" applyFont="1" applyFill="1" applyBorder="1" applyAlignment="1" applyProtection="1">
      <alignment horizontal="left" vertical="center" wrapText="1"/>
      <protection locked="0"/>
    </xf>
    <xf numFmtId="0" fontId="28" fillId="22" borderId="0" xfId="0" applyFont="1" applyFill="1" applyAlignment="1" applyProtection="1">
      <alignment horizontal="left" vertical="center" wrapText="1"/>
      <protection locked="0"/>
    </xf>
    <xf numFmtId="0" fontId="28" fillId="22" borderId="110" xfId="0" applyFont="1" applyFill="1" applyBorder="1" applyAlignment="1" applyProtection="1">
      <alignment horizontal="left" vertical="center" wrapText="1"/>
      <protection locked="0"/>
    </xf>
    <xf numFmtId="0" fontId="28" fillId="22" borderId="115" xfId="0" applyFont="1" applyFill="1" applyBorder="1" applyAlignment="1" applyProtection="1">
      <alignment horizontal="left" vertical="center" wrapText="1"/>
      <protection locked="0"/>
    </xf>
    <xf numFmtId="0" fontId="28" fillId="22" borderId="10" xfId="0" applyFont="1" applyFill="1" applyBorder="1" applyAlignment="1" applyProtection="1">
      <alignment horizontal="left" vertical="center" wrapText="1"/>
      <protection locked="0"/>
    </xf>
    <xf numFmtId="0" fontId="28" fillId="22" borderId="116" xfId="0" applyFont="1" applyFill="1" applyBorder="1" applyAlignment="1" applyProtection="1">
      <alignment horizontal="left" vertical="center" wrapText="1"/>
      <protection locked="0"/>
    </xf>
    <xf numFmtId="0" fontId="27" fillId="16" borderId="73" xfId="0" applyFont="1" applyFill="1" applyBorder="1" applyAlignment="1" applyProtection="1">
      <alignment horizontal="center" vertical="center"/>
      <protection hidden="1"/>
    </xf>
    <xf numFmtId="0" fontId="27" fillId="16" borderId="75" xfId="0" applyFont="1" applyFill="1" applyBorder="1" applyAlignment="1" applyProtection="1">
      <alignment horizontal="center" vertical="center"/>
      <protection hidden="1"/>
    </xf>
    <xf numFmtId="0" fontId="27" fillId="16" borderId="120" xfId="0" applyFont="1" applyFill="1" applyBorder="1" applyAlignment="1" applyProtection="1">
      <alignment horizontal="center" vertical="center"/>
      <protection hidden="1"/>
    </xf>
    <xf numFmtId="0" fontId="27" fillId="16" borderId="121" xfId="0" applyFont="1" applyFill="1" applyBorder="1" applyAlignment="1" applyProtection="1">
      <alignment horizontal="center" vertical="center"/>
      <protection hidden="1"/>
    </xf>
    <xf numFmtId="0" fontId="27" fillId="16" borderId="99" xfId="0" applyFont="1" applyFill="1" applyBorder="1" applyAlignment="1" applyProtection="1">
      <alignment horizontal="center" vertical="center"/>
      <protection hidden="1"/>
    </xf>
    <xf numFmtId="0" fontId="44" fillId="0" borderId="142" xfId="0" applyFont="1" applyBorder="1" applyAlignment="1" applyProtection="1">
      <alignment horizontal="center" vertical="center"/>
      <protection locked="0"/>
    </xf>
    <xf numFmtId="0" fontId="44" fillId="0" borderId="106" xfId="0" applyFont="1" applyBorder="1" applyAlignment="1" applyProtection="1">
      <alignment horizontal="center" vertical="center"/>
      <protection locked="0"/>
    </xf>
    <xf numFmtId="0" fontId="44" fillId="0" borderId="22" xfId="0" applyFont="1" applyBorder="1" applyAlignment="1" applyProtection="1">
      <alignment horizontal="center" vertical="center"/>
      <protection locked="0"/>
    </xf>
    <xf numFmtId="0" fontId="44" fillId="0" borderId="78" xfId="0" applyFont="1" applyBorder="1" applyAlignment="1" applyProtection="1">
      <alignment horizontal="center" vertical="center"/>
      <protection locked="0"/>
    </xf>
    <xf numFmtId="0" fontId="44" fillId="0" borderId="0" xfId="0" applyFont="1" applyAlignment="1" applyProtection="1">
      <alignment horizontal="center" vertical="center"/>
      <protection locked="0"/>
    </xf>
    <xf numFmtId="0" fontId="44" fillId="0" borderId="110" xfId="0" applyFont="1" applyBorder="1" applyAlignment="1" applyProtection="1">
      <alignment horizontal="center" vertical="center"/>
      <protection locked="0"/>
    </xf>
    <xf numFmtId="0" fontId="44" fillId="0" borderId="111" xfId="0" applyFont="1" applyBorder="1" applyAlignment="1" applyProtection="1">
      <alignment horizontal="center" vertical="center"/>
      <protection locked="0"/>
    </xf>
    <xf numFmtId="0" fontId="44" fillId="0" borderId="112" xfId="0" applyFont="1" applyBorder="1" applyAlignment="1" applyProtection="1">
      <alignment horizontal="center" vertical="center"/>
      <protection locked="0"/>
    </xf>
    <xf numFmtId="0" fontId="44" fillId="0" borderId="113" xfId="0" applyFont="1" applyBorder="1" applyAlignment="1" applyProtection="1">
      <alignment horizontal="center" vertical="center"/>
      <protection locked="0"/>
    </xf>
    <xf numFmtId="0" fontId="45" fillId="0" borderId="132" xfId="0" applyFont="1" applyBorder="1" applyAlignment="1">
      <alignment horizontal="center" vertical="center"/>
    </xf>
    <xf numFmtId="0" fontId="45" fillId="0" borderId="70" xfId="0" applyFont="1" applyBorder="1" applyAlignment="1">
      <alignment horizontal="center" vertical="center"/>
    </xf>
    <xf numFmtId="0" fontId="45" fillId="0" borderId="133" xfId="0" applyFont="1" applyBorder="1" applyAlignment="1">
      <alignment horizontal="center" vertical="center"/>
    </xf>
    <xf numFmtId="0" fontId="27" fillId="16" borderId="165" xfId="0" applyFont="1" applyFill="1" applyBorder="1" applyAlignment="1" applyProtection="1">
      <alignment horizontal="center" vertical="center"/>
      <protection hidden="1"/>
    </xf>
    <xf numFmtId="0" fontId="27" fillId="16" borderId="83" xfId="0" applyFont="1" applyFill="1" applyBorder="1" applyAlignment="1" applyProtection="1">
      <alignment horizontal="center" vertical="center"/>
      <protection hidden="1"/>
    </xf>
    <xf numFmtId="0" fontId="27" fillId="16" borderId="166" xfId="0" applyFont="1" applyFill="1" applyBorder="1" applyAlignment="1" applyProtection="1">
      <alignment horizontal="center" vertical="center"/>
      <protection hidden="1"/>
    </xf>
    <xf numFmtId="0" fontId="21" fillId="16" borderId="55" xfId="0" applyFont="1" applyFill="1" applyBorder="1" applyAlignment="1">
      <alignment horizontal="center" vertical="center"/>
    </xf>
    <xf numFmtId="0" fontId="14" fillId="20" borderId="55" xfId="0" applyFont="1" applyFill="1" applyBorder="1" applyAlignment="1" applyProtection="1">
      <alignment horizontal="center" vertical="center"/>
      <protection locked="0"/>
    </xf>
    <xf numFmtId="0" fontId="1" fillId="16" borderId="59" xfId="0" applyFont="1" applyFill="1" applyBorder="1" applyAlignment="1">
      <alignment horizontal="center" vertical="center"/>
    </xf>
    <xf numFmtId="0" fontId="1" fillId="16" borderId="60" xfId="0" applyFont="1" applyFill="1" applyBorder="1" applyAlignment="1">
      <alignment horizontal="center" vertical="center"/>
    </xf>
    <xf numFmtId="0" fontId="1" fillId="16" borderId="154" xfId="0" applyFont="1" applyFill="1" applyBorder="1" applyAlignment="1">
      <alignment horizontal="center" vertical="center"/>
    </xf>
    <xf numFmtId="0" fontId="1" fillId="16" borderId="155" xfId="0" applyFont="1" applyFill="1" applyBorder="1" applyAlignment="1">
      <alignment horizontal="center" vertical="center"/>
    </xf>
    <xf numFmtId="0" fontId="49" fillId="20" borderId="55" xfId="0" applyFont="1" applyFill="1" applyBorder="1" applyAlignment="1" applyProtection="1">
      <alignment horizontal="center" vertical="center"/>
      <protection locked="0"/>
    </xf>
    <xf numFmtId="0" fontId="5" fillId="0" borderId="51" xfId="0" applyFont="1" applyBorder="1" applyAlignment="1">
      <alignment horizontal="left" vertical="center"/>
    </xf>
    <xf numFmtId="0" fontId="5" fillId="0" borderId="50" xfId="0" applyFont="1" applyBorder="1" applyAlignment="1">
      <alignment horizontal="left" vertical="center"/>
    </xf>
    <xf numFmtId="0" fontId="5" fillId="0" borderId="57" xfId="0" applyFont="1" applyBorder="1" applyAlignment="1">
      <alignment horizontal="left" vertical="center"/>
    </xf>
    <xf numFmtId="0" fontId="24" fillId="16" borderId="39" xfId="0" applyFont="1" applyFill="1" applyBorder="1" applyAlignment="1">
      <alignment horizontal="center" vertical="center"/>
    </xf>
    <xf numFmtId="0" fontId="24" fillId="16" borderId="40" xfId="0" applyFont="1" applyFill="1" applyBorder="1" applyAlignment="1">
      <alignment horizontal="center" vertical="center"/>
    </xf>
    <xf numFmtId="0" fontId="5" fillId="26" borderId="58" xfId="0" applyFont="1" applyFill="1" applyBorder="1" applyAlignment="1">
      <alignment horizontal="center" vertical="center"/>
    </xf>
    <xf numFmtId="0" fontId="5" fillId="26" borderId="57" xfId="0" applyFont="1" applyFill="1" applyBorder="1" applyAlignment="1">
      <alignment horizontal="center" vertical="center"/>
    </xf>
    <xf numFmtId="0" fontId="5" fillId="26" borderId="56" xfId="0" applyFont="1" applyFill="1" applyBorder="1" applyAlignment="1">
      <alignment horizontal="center" vertical="center"/>
    </xf>
    <xf numFmtId="0" fontId="5" fillId="16" borderId="58" xfId="0" applyFont="1" applyFill="1" applyBorder="1" applyAlignment="1">
      <alignment horizontal="center" vertical="center"/>
    </xf>
    <xf numFmtId="0" fontId="5" fillId="16" borderId="57" xfId="0" applyFont="1" applyFill="1" applyBorder="1" applyAlignment="1">
      <alignment horizontal="center" vertical="center"/>
    </xf>
    <xf numFmtId="0" fontId="5" fillId="16" borderId="56" xfId="0" applyFont="1" applyFill="1" applyBorder="1" applyAlignment="1">
      <alignment horizontal="center" vertical="center"/>
    </xf>
    <xf numFmtId="0" fontId="23" fillId="20" borderId="58" xfId="0" applyFont="1" applyFill="1" applyBorder="1" applyAlignment="1" applyProtection="1">
      <alignment horizontal="center" vertical="center"/>
      <protection locked="0"/>
    </xf>
    <xf numFmtId="0" fontId="23" fillId="20" borderId="57" xfId="0" applyFont="1" applyFill="1" applyBorder="1" applyAlignment="1" applyProtection="1">
      <alignment horizontal="center" vertical="center"/>
      <protection locked="0"/>
    </xf>
    <xf numFmtId="0" fontId="23" fillId="20" borderId="56" xfId="0" applyFont="1" applyFill="1" applyBorder="1" applyAlignment="1" applyProtection="1">
      <alignment horizontal="center" vertical="center"/>
      <protection locked="0"/>
    </xf>
    <xf numFmtId="0" fontId="22" fillId="16" borderId="104" xfId="0" applyFont="1" applyFill="1" applyBorder="1" applyAlignment="1">
      <alignment horizontal="right" vertical="center"/>
    </xf>
    <xf numFmtId="0" fontId="22" fillId="16" borderId="97" xfId="0" applyFont="1" applyFill="1" applyBorder="1" applyAlignment="1">
      <alignment horizontal="right" vertical="center"/>
    </xf>
    <xf numFmtId="0" fontId="21" fillId="20" borderId="58" xfId="0" applyFont="1" applyFill="1" applyBorder="1" applyAlignment="1" applyProtection="1">
      <alignment horizontal="left" vertical="center"/>
      <protection locked="0"/>
    </xf>
    <xf numFmtId="0" fontId="21" fillId="20" borderId="57" xfId="0" applyFont="1" applyFill="1" applyBorder="1" applyAlignment="1" applyProtection="1">
      <alignment horizontal="left" vertical="center"/>
      <protection locked="0"/>
    </xf>
    <xf numFmtId="0" fontId="21" fillId="20" borderId="56" xfId="0" applyFont="1" applyFill="1" applyBorder="1" applyAlignment="1" applyProtection="1">
      <alignment horizontal="left" vertical="center"/>
      <protection locked="0"/>
    </xf>
    <xf numFmtId="0" fontId="28" fillId="17" borderId="16" xfId="0" applyFont="1" applyFill="1" applyBorder="1" applyAlignment="1" applyProtection="1">
      <alignment horizontal="center" vertical="center"/>
      <protection hidden="1"/>
    </xf>
    <xf numFmtId="0" fontId="28" fillId="17" borderId="37" xfId="0" applyFont="1" applyFill="1" applyBorder="1" applyAlignment="1" applyProtection="1">
      <alignment horizontal="center" vertical="center"/>
      <protection hidden="1"/>
    </xf>
    <xf numFmtId="0" fontId="27" fillId="16" borderId="74" xfId="0" applyFont="1" applyFill="1" applyBorder="1" applyAlignment="1" applyProtection="1">
      <alignment horizontal="center" vertical="center"/>
      <protection hidden="1"/>
    </xf>
    <xf numFmtId="0" fontId="27" fillId="16" borderId="178"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wrapText="1"/>
      <protection hidden="1"/>
    </xf>
    <xf numFmtId="0" fontId="0" fillId="17" borderId="0" xfId="0" applyFill="1" applyAlignment="1">
      <alignment horizontal="center" vertical="center"/>
    </xf>
    <xf numFmtId="0" fontId="0" fillId="17" borderId="0" xfId="0" applyFill="1" applyAlignment="1">
      <alignment horizontal="center" wrapText="1"/>
    </xf>
    <xf numFmtId="0" fontId="28" fillId="22" borderId="117" xfId="0" applyFont="1" applyFill="1" applyBorder="1" applyAlignment="1" applyProtection="1">
      <alignment horizontal="left" vertical="top" wrapText="1"/>
      <protection locked="0"/>
    </xf>
    <xf numFmtId="0" fontId="28" fillId="22" borderId="118" xfId="0" applyFont="1" applyFill="1" applyBorder="1" applyAlignment="1" applyProtection="1">
      <alignment horizontal="left" vertical="top" wrapText="1"/>
      <protection locked="0"/>
    </xf>
    <xf numFmtId="0" fontId="28" fillId="22" borderId="119" xfId="0" applyFont="1" applyFill="1" applyBorder="1" applyAlignment="1" applyProtection="1">
      <alignment horizontal="left" vertical="top" wrapText="1"/>
      <protection locked="0"/>
    </xf>
    <xf numFmtId="0" fontId="28" fillId="22" borderId="114" xfId="0" applyFont="1" applyFill="1" applyBorder="1" applyAlignment="1" applyProtection="1">
      <alignment horizontal="left" vertical="top" wrapText="1"/>
      <protection locked="0"/>
    </xf>
    <xf numFmtId="0" fontId="28" fillId="22" borderId="0" xfId="0" applyFont="1" applyFill="1" applyAlignment="1" applyProtection="1">
      <alignment horizontal="left" vertical="top" wrapText="1"/>
      <protection locked="0"/>
    </xf>
    <xf numFmtId="0" fontId="28" fillId="22" borderId="110" xfId="0" applyFont="1" applyFill="1" applyBorder="1" applyAlignment="1" applyProtection="1">
      <alignment horizontal="left" vertical="top" wrapText="1"/>
      <protection locked="0"/>
    </xf>
    <xf numFmtId="0" fontId="28" fillId="22" borderId="115" xfId="0" applyFont="1" applyFill="1" applyBorder="1" applyAlignment="1" applyProtection="1">
      <alignment horizontal="left" vertical="top" wrapText="1"/>
      <protection locked="0"/>
    </xf>
    <xf numFmtId="0" fontId="28" fillId="22" borderId="10" xfId="0" applyFont="1" applyFill="1" applyBorder="1" applyAlignment="1" applyProtection="1">
      <alignment horizontal="left" vertical="top" wrapText="1"/>
      <protection locked="0"/>
    </xf>
    <xf numFmtId="0" fontId="28" fillId="22" borderId="116" xfId="0" applyFont="1" applyFill="1" applyBorder="1" applyAlignment="1" applyProtection="1">
      <alignment horizontal="left" vertical="top" wrapText="1"/>
      <protection locked="0"/>
    </xf>
    <xf numFmtId="0" fontId="0" fillId="8" borderId="58" xfId="0" applyFill="1" applyBorder="1" applyAlignment="1">
      <alignment horizontal="center" vertical="center" wrapText="1"/>
    </xf>
    <xf numFmtId="0" fontId="0" fillId="8" borderId="87" xfId="0" applyFill="1" applyBorder="1" applyAlignment="1">
      <alignment horizontal="center" vertical="center" wrapText="1"/>
    </xf>
    <xf numFmtId="0" fontId="0" fillId="8" borderId="56" xfId="0" applyFill="1" applyBorder="1" applyAlignment="1">
      <alignment horizontal="center" vertical="center" wrapText="1"/>
    </xf>
    <xf numFmtId="0" fontId="21" fillId="21" borderId="117" xfId="0" applyFont="1" applyFill="1" applyBorder="1" applyAlignment="1" applyProtection="1">
      <alignment horizontal="center" vertical="center"/>
      <protection hidden="1"/>
    </xf>
    <xf numFmtId="0" fontId="21" fillId="21" borderId="118" xfId="0" applyFont="1" applyFill="1" applyBorder="1" applyAlignment="1" applyProtection="1">
      <alignment horizontal="center" vertical="center"/>
      <protection hidden="1"/>
    </xf>
    <xf numFmtId="0" fontId="21" fillId="21" borderId="119" xfId="0" applyFont="1" applyFill="1" applyBorder="1" applyAlignment="1" applyProtection="1">
      <alignment horizontal="center" vertical="center"/>
      <protection hidden="1"/>
    </xf>
    <xf numFmtId="0" fontId="21" fillId="21" borderId="115" xfId="0" applyFont="1" applyFill="1" applyBorder="1" applyAlignment="1" applyProtection="1">
      <alignment horizontal="center" vertical="center"/>
      <protection hidden="1"/>
    </xf>
    <xf numFmtId="0" fontId="21" fillId="21" borderId="10" xfId="0" applyFont="1" applyFill="1" applyBorder="1" applyAlignment="1" applyProtection="1">
      <alignment horizontal="center" vertical="center"/>
      <protection hidden="1"/>
    </xf>
    <xf numFmtId="0" fontId="21" fillId="21" borderId="116" xfId="0" applyFont="1" applyFill="1" applyBorder="1" applyAlignment="1" applyProtection="1">
      <alignment horizontal="center" vertical="center"/>
      <protection hidden="1"/>
    </xf>
    <xf numFmtId="0" fontId="27" fillId="16" borderId="117" xfId="0" applyFont="1" applyFill="1" applyBorder="1" applyAlignment="1" applyProtection="1">
      <alignment horizontal="center" vertical="center"/>
      <protection hidden="1"/>
    </xf>
    <xf numFmtId="0" fontId="27" fillId="16" borderId="118" xfId="0" applyFont="1" applyFill="1" applyBorder="1" applyAlignment="1" applyProtection="1">
      <alignment horizontal="center" vertical="center"/>
      <protection hidden="1"/>
    </xf>
    <xf numFmtId="0" fontId="27" fillId="16" borderId="119" xfId="0" applyFont="1" applyFill="1" applyBorder="1" applyAlignment="1" applyProtection="1">
      <alignment horizontal="center" vertical="center"/>
      <protection hidden="1"/>
    </xf>
    <xf numFmtId="0" fontId="27" fillId="16" borderId="115" xfId="0" applyFont="1" applyFill="1" applyBorder="1" applyAlignment="1" applyProtection="1">
      <alignment horizontal="center" vertical="center"/>
      <protection hidden="1"/>
    </xf>
    <xf numFmtId="0" fontId="27" fillId="16" borderId="10" xfId="0" applyFont="1" applyFill="1" applyBorder="1" applyAlignment="1" applyProtection="1">
      <alignment horizontal="center" vertical="center"/>
      <protection hidden="1"/>
    </xf>
    <xf numFmtId="0" fontId="27" fillId="16" borderId="116" xfId="0" applyFont="1" applyFill="1" applyBorder="1" applyAlignment="1" applyProtection="1">
      <alignment horizontal="center" vertical="center"/>
      <protection hidden="1"/>
    </xf>
    <xf numFmtId="0" fontId="33" fillId="17" borderId="114" xfId="0" applyFont="1" applyFill="1" applyBorder="1" applyAlignment="1" applyProtection="1">
      <alignment horizontal="center" vertical="center"/>
      <protection hidden="1"/>
    </xf>
    <xf numFmtId="0" fontId="33" fillId="17" borderId="0" xfId="0" applyFont="1" applyFill="1" applyAlignment="1" applyProtection="1">
      <alignment horizontal="center" vertical="center"/>
      <protection hidden="1"/>
    </xf>
    <xf numFmtId="0" fontId="1" fillId="16" borderId="161" xfId="0" applyFont="1" applyFill="1" applyBorder="1" applyAlignment="1">
      <alignment horizontal="center" wrapText="1"/>
    </xf>
    <xf numFmtId="0" fontId="1" fillId="16" borderId="162" xfId="0" applyFont="1" applyFill="1" applyBorder="1" applyAlignment="1">
      <alignment horizontal="center" wrapText="1"/>
    </xf>
    <xf numFmtId="0" fontId="1" fillId="16" borderId="163" xfId="0" applyFont="1" applyFill="1" applyBorder="1" applyAlignment="1">
      <alignment horizontal="center" wrapText="1"/>
    </xf>
    <xf numFmtId="0" fontId="0" fillId="8" borderId="91" xfId="0" applyFill="1" applyBorder="1" applyAlignment="1">
      <alignment horizontal="center" vertical="center" wrapText="1"/>
    </xf>
    <xf numFmtId="0" fontId="0" fillId="8" borderId="92" xfId="0" applyFill="1" applyBorder="1" applyAlignment="1">
      <alignment horizontal="center" vertical="center" wrapText="1"/>
    </xf>
    <xf numFmtId="0" fontId="0" fillId="8" borderId="93" xfId="0" applyFill="1" applyBorder="1" applyAlignment="1">
      <alignment horizontal="center" vertical="center" wrapText="1"/>
    </xf>
    <xf numFmtId="0" fontId="7" fillId="4" borderId="154" xfId="0" applyFont="1" applyFill="1" applyBorder="1" applyAlignment="1">
      <alignment horizontal="center" vertical="center" wrapText="1"/>
    </xf>
    <xf numFmtId="0" fontId="7" fillId="4" borderId="87" xfId="0" applyFont="1" applyFill="1" applyBorder="1" applyAlignment="1">
      <alignment horizontal="center" vertical="center" wrapText="1"/>
    </xf>
    <xf numFmtId="0" fontId="7" fillId="4" borderId="155" xfId="0" applyFont="1" applyFill="1" applyBorder="1" applyAlignment="1">
      <alignment horizontal="center" vertical="center" wrapText="1"/>
    </xf>
    <xf numFmtId="0" fontId="0" fillId="17" borderId="100" xfId="0" applyFill="1" applyBorder="1" applyAlignment="1">
      <alignment horizontal="center"/>
    </xf>
    <xf numFmtId="0" fontId="0" fillId="17" borderId="65" xfId="0" applyFill="1" applyBorder="1" applyAlignment="1">
      <alignment horizontal="center"/>
    </xf>
    <xf numFmtId="0" fontId="0" fillId="17" borderId="86" xfId="0" applyFill="1" applyBorder="1" applyAlignment="1">
      <alignment horizontal="center"/>
    </xf>
    <xf numFmtId="0" fontId="17" fillId="0" borderId="65" xfId="0" applyFont="1" applyBorder="1" applyAlignment="1">
      <alignment horizontal="center" wrapText="1"/>
    </xf>
    <xf numFmtId="0" fontId="17" fillId="0" borderId="0" xfId="0" applyFont="1" applyAlignment="1">
      <alignment horizontal="center" wrapText="1"/>
    </xf>
    <xf numFmtId="0" fontId="17" fillId="0" borderId="86" xfId="0" applyFont="1" applyBorder="1" applyAlignment="1">
      <alignment horizontal="center" wrapText="1"/>
    </xf>
    <xf numFmtId="0" fontId="17" fillId="0" borderId="8" xfId="0" applyFont="1" applyBorder="1" applyAlignment="1">
      <alignment horizontal="center" wrapText="1"/>
    </xf>
    <xf numFmtId="0" fontId="17" fillId="0" borderId="7" xfId="0" applyFont="1" applyBorder="1" applyAlignment="1">
      <alignment horizontal="center" wrapText="1"/>
    </xf>
    <xf numFmtId="0" fontId="17" fillId="0" borderId="9" xfId="0" applyFont="1" applyBorder="1" applyAlignment="1">
      <alignment horizontal="center" wrapText="1"/>
    </xf>
    <xf numFmtId="0" fontId="0" fillId="16" borderId="145" xfId="0" applyFill="1" applyBorder="1" applyAlignment="1">
      <alignment horizontal="right"/>
    </xf>
    <xf numFmtId="0" fontId="0" fillId="16" borderId="146" xfId="0" applyFill="1" applyBorder="1" applyAlignment="1">
      <alignment horizontal="right"/>
    </xf>
    <xf numFmtId="0" fontId="0" fillId="16" borderId="156" xfId="0" applyFill="1" applyBorder="1" applyAlignment="1">
      <alignment horizontal="right"/>
    </xf>
    <xf numFmtId="1" fontId="1" fillId="20" borderId="156" xfId="0" applyNumberFormat="1" applyFont="1" applyFill="1" applyBorder="1" applyAlignment="1" applyProtection="1">
      <alignment horizontal="left"/>
      <protection locked="0"/>
    </xf>
    <xf numFmtId="1" fontId="1" fillId="20" borderId="109" xfId="0" applyNumberFormat="1" applyFont="1" applyFill="1" applyBorder="1" applyAlignment="1" applyProtection="1">
      <alignment horizontal="left"/>
      <protection locked="0"/>
    </xf>
    <xf numFmtId="0" fontId="0" fillId="16" borderId="154" xfId="0" applyFill="1" applyBorder="1" applyAlignment="1">
      <alignment horizontal="right" vertical="center"/>
    </xf>
    <xf numFmtId="0" fontId="1" fillId="16" borderId="161" xfId="0" applyFont="1" applyFill="1" applyBorder="1" applyAlignment="1">
      <alignment horizontal="center" vertical="center" wrapText="1"/>
    </xf>
    <xf numFmtId="0" fontId="1" fillId="16" borderId="162" xfId="0" applyFont="1" applyFill="1" applyBorder="1" applyAlignment="1">
      <alignment horizontal="center" vertical="center" wrapText="1"/>
    </xf>
    <xf numFmtId="0" fontId="1" fillId="16" borderId="163" xfId="0" applyFont="1" applyFill="1" applyBorder="1" applyAlignment="1">
      <alignment horizontal="center" vertical="center" wrapText="1"/>
    </xf>
    <xf numFmtId="0" fontId="1" fillId="16" borderId="161" xfId="0" applyFont="1" applyFill="1" applyBorder="1" applyAlignment="1">
      <alignment horizontal="center" vertical="center"/>
    </xf>
    <xf numFmtId="0" fontId="1" fillId="16" borderId="162" xfId="0" applyFont="1" applyFill="1" applyBorder="1" applyAlignment="1">
      <alignment horizontal="center" vertical="center"/>
    </xf>
    <xf numFmtId="0" fontId="1" fillId="16" borderId="163" xfId="0" applyFont="1" applyFill="1" applyBorder="1" applyAlignment="1">
      <alignment horizontal="center" vertical="center"/>
    </xf>
    <xf numFmtId="1" fontId="54" fillId="0" borderId="65" xfId="0" applyNumberFormat="1" applyFont="1" applyBorder="1" applyAlignment="1">
      <alignment horizontal="center" vertical="center"/>
    </xf>
    <xf numFmtId="1" fontId="54" fillId="0" borderId="0" xfId="0" applyNumberFormat="1" applyFont="1" applyAlignment="1">
      <alignment horizontal="center" vertical="center"/>
    </xf>
    <xf numFmtId="1" fontId="54" fillId="0" borderId="86" xfId="0" applyNumberFormat="1" applyFont="1" applyBorder="1" applyAlignment="1">
      <alignment horizontal="center" vertical="center"/>
    </xf>
    <xf numFmtId="1" fontId="54" fillId="0" borderId="8" xfId="0" applyNumberFormat="1" applyFont="1" applyBorder="1" applyAlignment="1">
      <alignment horizontal="center" vertical="center"/>
    </xf>
    <xf numFmtId="1" fontId="54" fillId="0" borderId="7" xfId="0" applyNumberFormat="1" applyFont="1" applyBorder="1" applyAlignment="1">
      <alignment horizontal="center" vertical="center"/>
    </xf>
    <xf numFmtId="1" fontId="54" fillId="0" borderId="9" xfId="0" applyNumberFormat="1" applyFont="1" applyBorder="1" applyAlignment="1">
      <alignment horizontal="center" vertical="center"/>
    </xf>
    <xf numFmtId="0" fontId="54" fillId="0" borderId="65" xfId="0" applyFont="1" applyBorder="1" applyAlignment="1">
      <alignment horizontal="center" vertical="center" wrapText="1"/>
    </xf>
    <xf numFmtId="0" fontId="54" fillId="0" borderId="0" xfId="0" applyFont="1" applyAlignment="1">
      <alignment horizontal="center" vertical="center" wrapText="1"/>
    </xf>
    <xf numFmtId="0" fontId="54" fillId="0" borderId="86" xfId="0" applyFont="1" applyBorder="1" applyAlignment="1">
      <alignment horizontal="center" vertical="center" wrapText="1"/>
    </xf>
    <xf numFmtId="0" fontId="54" fillId="0" borderId="8" xfId="0" applyFont="1" applyBorder="1" applyAlignment="1">
      <alignment horizontal="center" vertical="center" wrapText="1"/>
    </xf>
    <xf numFmtId="0" fontId="54" fillId="0" borderId="7" xfId="0" applyFont="1" applyBorder="1" applyAlignment="1">
      <alignment horizontal="center" vertical="center" wrapText="1"/>
    </xf>
    <xf numFmtId="0" fontId="54" fillId="0" borderId="9" xfId="0" applyFont="1" applyBorder="1" applyAlignment="1">
      <alignment horizontal="center" vertical="center" wrapText="1"/>
    </xf>
    <xf numFmtId="0" fontId="54" fillId="0" borderId="65" xfId="0" applyFont="1" applyBorder="1" applyAlignment="1">
      <alignment horizontal="center" vertical="center"/>
    </xf>
    <xf numFmtId="0" fontId="54" fillId="0" borderId="0" xfId="0" applyFont="1" applyAlignment="1">
      <alignment horizontal="center" vertical="center"/>
    </xf>
    <xf numFmtId="0" fontId="54" fillId="0" borderId="86" xfId="0" applyFont="1" applyBorder="1" applyAlignment="1">
      <alignment horizontal="center" vertical="center"/>
    </xf>
    <xf numFmtId="0" fontId="54" fillId="0" borderId="8" xfId="0" applyFont="1" applyBorder="1" applyAlignment="1">
      <alignment horizontal="center" vertical="center"/>
    </xf>
    <xf numFmtId="0" fontId="54" fillId="0" borderId="7" xfId="0" applyFont="1" applyBorder="1" applyAlignment="1">
      <alignment horizontal="center" vertical="center"/>
    </xf>
    <xf numFmtId="0" fontId="54" fillId="0" borderId="9" xfId="0" applyFont="1" applyBorder="1" applyAlignment="1">
      <alignment horizontal="center" vertical="center"/>
    </xf>
    <xf numFmtId="0" fontId="0" fillId="0" borderId="51" xfId="0" applyBorder="1" applyAlignment="1">
      <alignment horizontal="left" vertical="center"/>
    </xf>
    <xf numFmtId="0" fontId="0" fillId="0" borderId="50" xfId="0" applyBorder="1" applyAlignment="1">
      <alignment horizontal="left" vertical="center"/>
    </xf>
    <xf numFmtId="0" fontId="0" fillId="0" borderId="57" xfId="0" applyBorder="1" applyAlignment="1">
      <alignment horizontal="left" vertical="center"/>
    </xf>
    <xf numFmtId="0" fontId="28" fillId="17" borderId="114" xfId="0" applyFont="1" applyFill="1" applyBorder="1" applyAlignment="1">
      <alignment horizontal="center" vertical="center"/>
    </xf>
    <xf numFmtId="0" fontId="28" fillId="17" borderId="0" xfId="0" applyFont="1" applyFill="1" applyAlignment="1">
      <alignment horizontal="center" vertical="center"/>
    </xf>
    <xf numFmtId="0" fontId="28" fillId="17" borderId="110" xfId="0" applyFont="1" applyFill="1" applyBorder="1" applyAlignment="1">
      <alignment horizontal="center" vertical="center"/>
    </xf>
    <xf numFmtId="0" fontId="14" fillId="21" borderId="167" xfId="0" applyFont="1" applyFill="1" applyBorder="1" applyAlignment="1" applyProtection="1">
      <alignment horizontal="center" vertical="center"/>
      <protection hidden="1"/>
    </xf>
    <xf numFmtId="0" fontId="27" fillId="21" borderId="168" xfId="0" applyFont="1" applyFill="1" applyBorder="1" applyAlignment="1" applyProtection="1">
      <alignment horizontal="center" vertical="center"/>
      <protection hidden="1"/>
    </xf>
    <xf numFmtId="0" fontId="27" fillId="21" borderId="169" xfId="0" applyFont="1" applyFill="1" applyBorder="1" applyAlignment="1" applyProtection="1">
      <alignment horizontal="center" vertical="center"/>
      <protection hidden="1"/>
    </xf>
    <xf numFmtId="0" fontId="27" fillId="21" borderId="125" xfId="0" applyFont="1" applyFill="1" applyBorder="1" applyAlignment="1" applyProtection="1">
      <alignment horizontal="center" vertical="center"/>
      <protection hidden="1"/>
    </xf>
    <xf numFmtId="0" fontId="27" fillId="21" borderId="83" xfId="0" applyFont="1" applyFill="1" applyBorder="1" applyAlignment="1" applyProtection="1">
      <alignment horizontal="center" vertical="center"/>
      <protection hidden="1"/>
    </xf>
    <xf numFmtId="0" fontId="27" fillId="21" borderId="170" xfId="0" applyFont="1" applyFill="1" applyBorder="1" applyAlignment="1" applyProtection="1">
      <alignment horizontal="center" vertical="center"/>
      <protection hidden="1"/>
    </xf>
    <xf numFmtId="0" fontId="22" fillId="20" borderId="167" xfId="0" applyFont="1" applyFill="1" applyBorder="1" applyAlignment="1" applyProtection="1">
      <alignment horizontal="left" vertical="top" wrapText="1"/>
      <protection locked="0"/>
    </xf>
    <xf numFmtId="0" fontId="22" fillId="20" borderId="168" xfId="0" applyFont="1" applyFill="1" applyBorder="1" applyAlignment="1" applyProtection="1">
      <alignment horizontal="left" vertical="top"/>
      <protection locked="0"/>
    </xf>
    <xf numFmtId="0" fontId="22" fillId="20" borderId="169" xfId="0" applyFont="1" applyFill="1" applyBorder="1" applyAlignment="1" applyProtection="1">
      <alignment horizontal="left" vertical="top"/>
      <protection locked="0"/>
    </xf>
    <xf numFmtId="0" fontId="22" fillId="20" borderId="114" xfId="0" applyFont="1" applyFill="1" applyBorder="1" applyAlignment="1" applyProtection="1">
      <alignment horizontal="left" vertical="top"/>
      <protection locked="0"/>
    </xf>
    <xf numFmtId="0" fontId="22" fillId="20" borderId="0" xfId="0" applyFont="1" applyFill="1" applyAlignment="1" applyProtection="1">
      <alignment horizontal="left" vertical="top"/>
      <protection locked="0"/>
    </xf>
    <xf numFmtId="0" fontId="22" fillId="20" borderId="110" xfId="0" applyFont="1" applyFill="1" applyBorder="1" applyAlignment="1" applyProtection="1">
      <alignment horizontal="left" vertical="top"/>
      <protection locked="0"/>
    </xf>
    <xf numFmtId="0" fontId="22" fillId="20" borderId="125" xfId="0" applyFont="1" applyFill="1" applyBorder="1" applyAlignment="1" applyProtection="1">
      <alignment horizontal="left" vertical="top"/>
      <protection locked="0"/>
    </xf>
    <xf numFmtId="0" fontId="22" fillId="20" borderId="83" xfId="0" applyFont="1" applyFill="1" applyBorder="1" applyAlignment="1" applyProtection="1">
      <alignment horizontal="left" vertical="top"/>
      <protection locked="0"/>
    </xf>
    <xf numFmtId="0" fontId="22" fillId="20" borderId="170" xfId="0" applyFont="1" applyFill="1" applyBorder="1" applyAlignment="1" applyProtection="1">
      <alignment horizontal="left" vertical="top"/>
      <protection locked="0"/>
    </xf>
    <xf numFmtId="14" fontId="14" fillId="20" borderId="154" xfId="0" applyNumberFormat="1" applyFont="1" applyFill="1" applyBorder="1" applyAlignment="1" applyProtection="1">
      <alignment horizontal="center" vertical="center" wrapText="1"/>
      <protection locked="0"/>
    </xf>
    <xf numFmtId="14" fontId="14" fillId="20" borderId="155" xfId="0" applyNumberFormat="1" applyFont="1" applyFill="1" applyBorder="1" applyAlignment="1" applyProtection="1">
      <alignment horizontal="center" vertical="center"/>
      <protection locked="0"/>
    </xf>
    <xf numFmtId="0" fontId="5" fillId="16" borderId="143" xfId="0" applyFont="1" applyFill="1" applyBorder="1" applyAlignment="1">
      <alignment horizontal="center" vertical="center"/>
    </xf>
    <xf numFmtId="0" fontId="5" fillId="16" borderId="106" xfId="0" applyFont="1" applyFill="1" applyBorder="1" applyAlignment="1">
      <alignment horizontal="center" vertical="center"/>
    </xf>
    <xf numFmtId="0" fontId="5" fillId="16" borderId="144" xfId="0" applyFont="1" applyFill="1" applyBorder="1" applyAlignment="1">
      <alignment horizontal="center" vertical="center"/>
    </xf>
    <xf numFmtId="0" fontId="5" fillId="16" borderId="8" xfId="0" applyFont="1" applyFill="1" applyBorder="1" applyAlignment="1">
      <alignment horizontal="center" vertical="center"/>
    </xf>
    <xf numFmtId="0" fontId="5" fillId="16" borderId="7" xfId="0" applyFont="1" applyFill="1" applyBorder="1" applyAlignment="1">
      <alignment horizontal="center" vertical="center"/>
    </xf>
    <xf numFmtId="0" fontId="5" fillId="16" borderId="9" xfId="0" applyFont="1" applyFill="1" applyBorder="1" applyAlignment="1">
      <alignment horizontal="center" vertical="center"/>
    </xf>
    <xf numFmtId="0" fontId="5" fillId="16" borderId="22" xfId="0" applyFont="1" applyFill="1" applyBorder="1" applyAlignment="1">
      <alignment horizontal="center" vertical="center"/>
    </xf>
    <xf numFmtId="0" fontId="5" fillId="16" borderId="141" xfId="0" applyFont="1" applyFill="1" applyBorder="1" applyAlignment="1">
      <alignment horizontal="center" vertical="center"/>
    </xf>
    <xf numFmtId="0" fontId="41" fillId="4" borderId="154" xfId="0" applyFont="1" applyFill="1" applyBorder="1" applyAlignment="1" applyProtection="1">
      <alignment horizontal="left" vertical="center"/>
      <protection locked="0"/>
    </xf>
    <xf numFmtId="0" fontId="41" fillId="4" borderId="87" xfId="0" applyFont="1" applyFill="1" applyBorder="1" applyAlignment="1" applyProtection="1">
      <alignment horizontal="left" vertical="center"/>
      <protection locked="0"/>
    </xf>
    <xf numFmtId="0" fontId="41" fillId="4" borderId="164" xfId="0" applyFont="1" applyFill="1" applyBorder="1" applyAlignment="1" applyProtection="1">
      <alignment horizontal="left" vertical="center"/>
      <protection locked="0"/>
    </xf>
    <xf numFmtId="14" fontId="1" fillId="20" borderId="154" xfId="0" applyNumberFormat="1" applyFont="1" applyFill="1" applyBorder="1" applyAlignment="1" applyProtection="1">
      <alignment horizontal="left" vertical="center"/>
      <protection locked="0"/>
    </xf>
    <xf numFmtId="0" fontId="1" fillId="20" borderId="87" xfId="0" applyFont="1" applyFill="1" applyBorder="1" applyAlignment="1" applyProtection="1">
      <alignment horizontal="left" vertical="center"/>
      <protection locked="0"/>
    </xf>
    <xf numFmtId="0" fontId="1" fillId="20" borderId="164" xfId="0" applyFont="1" applyFill="1" applyBorder="1" applyAlignment="1" applyProtection="1">
      <alignment horizontal="left" vertical="center"/>
      <protection locked="0"/>
    </xf>
    <xf numFmtId="0" fontId="0" fillId="17" borderId="138" xfId="0" applyFill="1" applyBorder="1" applyAlignment="1">
      <alignment horizontal="center"/>
    </xf>
    <xf numFmtId="0" fontId="0" fillId="17" borderId="139" xfId="0" applyFill="1" applyBorder="1" applyAlignment="1">
      <alignment horizontal="center"/>
    </xf>
    <xf numFmtId="0" fontId="0" fillId="17" borderId="140" xfId="0" applyFill="1" applyBorder="1" applyAlignment="1">
      <alignment horizontal="center"/>
    </xf>
    <xf numFmtId="0" fontId="0" fillId="17" borderId="33" xfId="0" applyFill="1" applyBorder="1" applyAlignment="1">
      <alignment horizontal="center"/>
    </xf>
    <xf numFmtId="0" fontId="0" fillId="16" borderId="104" xfId="0" applyFill="1" applyBorder="1" applyAlignment="1">
      <alignment horizontal="right"/>
    </xf>
    <xf numFmtId="0" fontId="0" fillId="16" borderId="97" xfId="0" applyFill="1" applyBorder="1" applyAlignment="1">
      <alignment horizontal="right"/>
    </xf>
    <xf numFmtId="0" fontId="1" fillId="20" borderId="154" xfId="0" applyFont="1" applyFill="1" applyBorder="1" applyAlignment="1" applyProtection="1">
      <alignment horizontal="left" vertical="center"/>
      <protection locked="0"/>
    </xf>
    <xf numFmtId="0" fontId="21" fillId="20" borderId="154" xfId="0" applyFont="1" applyFill="1" applyBorder="1" applyAlignment="1" applyProtection="1">
      <alignment horizontal="left" vertical="center"/>
      <protection locked="0"/>
    </xf>
    <xf numFmtId="0" fontId="21" fillId="20" borderId="87" xfId="0" applyFont="1" applyFill="1" applyBorder="1" applyAlignment="1" applyProtection="1">
      <alignment horizontal="left" vertical="center"/>
      <protection locked="0"/>
    </xf>
    <xf numFmtId="0" fontId="21" fillId="20" borderId="155" xfId="0" applyFont="1" applyFill="1" applyBorder="1" applyAlignment="1" applyProtection="1">
      <alignment horizontal="left" vertical="center"/>
      <protection locked="0"/>
    </xf>
    <xf numFmtId="0" fontId="5" fillId="16" borderId="142" xfId="0" applyFont="1" applyFill="1" applyBorder="1" applyAlignment="1">
      <alignment horizontal="center" vertical="center"/>
    </xf>
    <xf numFmtId="0" fontId="5" fillId="16" borderId="80" xfId="0" applyFont="1" applyFill="1" applyBorder="1" applyAlignment="1">
      <alignment horizontal="center" vertical="center"/>
    </xf>
    <xf numFmtId="0" fontId="35" fillId="0" borderId="58" xfId="0" applyFont="1" applyBorder="1" applyAlignment="1" applyProtection="1">
      <alignment horizontal="center" vertical="center"/>
      <protection hidden="1"/>
    </xf>
    <xf numFmtId="0" fontId="35" fillId="0" borderId="56" xfId="0" applyFont="1" applyBorder="1" applyAlignment="1" applyProtection="1">
      <alignment horizontal="center" vertical="center"/>
      <protection hidden="1"/>
    </xf>
    <xf numFmtId="0" fontId="35" fillId="0" borderId="82" xfId="0" applyFont="1" applyBorder="1" applyAlignment="1" applyProtection="1">
      <alignment horizontal="center" vertical="center"/>
      <protection hidden="1"/>
    </xf>
    <xf numFmtId="0" fontId="32" fillId="16" borderId="117" xfId="0" applyFont="1" applyFill="1" applyBorder="1" applyAlignment="1" applyProtection="1">
      <alignment horizontal="center" vertical="center" wrapText="1"/>
      <protection hidden="1"/>
    </xf>
    <xf numFmtId="0" fontId="32" fillId="16" borderId="118" xfId="0" applyFont="1" applyFill="1" applyBorder="1" applyAlignment="1" applyProtection="1">
      <alignment horizontal="center" vertical="center" wrapText="1"/>
      <protection hidden="1"/>
    </xf>
    <xf numFmtId="0" fontId="32" fillId="16" borderId="119" xfId="0" applyFont="1" applyFill="1" applyBorder="1" applyAlignment="1" applyProtection="1">
      <alignment horizontal="center" vertical="center" wrapText="1"/>
      <protection hidden="1"/>
    </xf>
    <xf numFmtId="0" fontId="35" fillId="16" borderId="117" xfId="0" applyFont="1" applyFill="1" applyBorder="1" applyAlignment="1" applyProtection="1">
      <alignment horizontal="center" vertical="center"/>
      <protection hidden="1"/>
    </xf>
    <xf numFmtId="0" fontId="35" fillId="16" borderId="118" xfId="0" applyFont="1" applyFill="1" applyBorder="1" applyAlignment="1" applyProtection="1">
      <alignment horizontal="center" vertical="center"/>
      <protection hidden="1"/>
    </xf>
    <xf numFmtId="0" fontId="35" fillId="16" borderId="119" xfId="0" applyFont="1" applyFill="1" applyBorder="1" applyAlignment="1" applyProtection="1">
      <alignment horizontal="center" vertical="center"/>
      <protection hidden="1"/>
    </xf>
    <xf numFmtId="0" fontId="35" fillId="16" borderId="115" xfId="0" applyFont="1" applyFill="1" applyBorder="1" applyAlignment="1" applyProtection="1">
      <alignment horizontal="center" vertical="center"/>
      <protection hidden="1"/>
    </xf>
    <xf numFmtId="0" fontId="35" fillId="16" borderId="10" xfId="0" applyFont="1" applyFill="1" applyBorder="1" applyAlignment="1" applyProtection="1">
      <alignment horizontal="center" vertical="center"/>
      <protection hidden="1"/>
    </xf>
    <xf numFmtId="0" fontId="35" fillId="16" borderId="116" xfId="0" applyFont="1" applyFill="1" applyBorder="1" applyAlignment="1" applyProtection="1">
      <alignment horizontal="center" vertical="center"/>
      <protection hidden="1"/>
    </xf>
    <xf numFmtId="0" fontId="28" fillId="17" borderId="67" xfId="0" applyFont="1" applyFill="1" applyBorder="1" applyAlignment="1" applyProtection="1">
      <alignment horizontal="center" vertical="center"/>
      <protection hidden="1"/>
    </xf>
    <xf numFmtId="0" fontId="28" fillId="5" borderId="122" xfId="0" applyFont="1" applyFill="1" applyBorder="1" applyAlignment="1" applyProtection="1">
      <alignment horizontal="center" vertical="center"/>
      <protection hidden="1"/>
    </xf>
    <xf numFmtId="0" fontId="28" fillId="5" borderId="92" xfId="0" applyFont="1" applyFill="1" applyBorder="1" applyAlignment="1" applyProtection="1">
      <alignment horizontal="center" vertical="center"/>
      <protection hidden="1"/>
    </xf>
    <xf numFmtId="0" fontId="28" fillId="5" borderId="96" xfId="0" applyFont="1" applyFill="1" applyBorder="1" applyAlignment="1" applyProtection="1">
      <alignment horizontal="center" vertical="center"/>
      <protection hidden="1"/>
    </xf>
    <xf numFmtId="0" fontId="14" fillId="20" borderId="150" xfId="0" applyFont="1" applyFill="1" applyBorder="1" applyAlignment="1" applyProtection="1">
      <alignment horizontal="center" vertical="top"/>
      <protection locked="0"/>
    </xf>
    <xf numFmtId="0" fontId="14" fillId="20" borderId="151" xfId="0" applyFont="1" applyFill="1" applyBorder="1" applyAlignment="1" applyProtection="1">
      <alignment horizontal="center" vertical="top"/>
      <protection locked="0"/>
    </xf>
    <xf numFmtId="0" fontId="14" fillId="20" borderId="152" xfId="0" applyFont="1" applyFill="1" applyBorder="1" applyAlignment="1" applyProtection="1">
      <alignment horizontal="center" vertical="top"/>
      <protection locked="0"/>
    </xf>
    <xf numFmtId="0" fontId="42" fillId="17" borderId="171" xfId="0" applyFont="1" applyFill="1" applyBorder="1" applyAlignment="1">
      <alignment horizontal="center" vertical="top"/>
    </xf>
    <xf numFmtId="0" fontId="42" fillId="17" borderId="151" xfId="0" applyFont="1" applyFill="1" applyBorder="1" applyAlignment="1">
      <alignment horizontal="center" vertical="top"/>
    </xf>
    <xf numFmtId="0" fontId="42" fillId="17" borderId="153" xfId="0" applyFont="1" applyFill="1" applyBorder="1" applyAlignment="1">
      <alignment horizontal="center" vertical="top"/>
    </xf>
    <xf numFmtId="0" fontId="36" fillId="20" borderId="173" xfId="0" applyFont="1" applyFill="1" applyBorder="1" applyAlignment="1" applyProtection="1">
      <alignment horizontal="center" vertical="center"/>
      <protection locked="0"/>
    </xf>
    <xf numFmtId="0" fontId="36" fillId="20" borderId="170" xfId="0" applyFont="1" applyFill="1" applyBorder="1" applyAlignment="1" applyProtection="1">
      <alignment horizontal="center" vertical="center"/>
      <protection locked="0"/>
    </xf>
    <xf numFmtId="0" fontId="36" fillId="20" borderId="159" xfId="0" applyFont="1" applyFill="1" applyBorder="1" applyAlignment="1" applyProtection="1">
      <alignment horizontal="center" vertical="center"/>
      <protection locked="0"/>
    </xf>
    <xf numFmtId="0" fontId="36" fillId="20" borderId="153" xfId="0" applyFont="1" applyFill="1" applyBorder="1" applyAlignment="1" applyProtection="1">
      <alignment horizontal="center" vertical="center"/>
      <protection locked="0"/>
    </xf>
    <xf numFmtId="0" fontId="14" fillId="20" borderId="154" xfId="0" applyFont="1" applyFill="1" applyBorder="1" applyAlignment="1" applyProtection="1">
      <alignment horizontal="center" vertical="center"/>
      <protection locked="0"/>
    </xf>
    <xf numFmtId="0" fontId="14" fillId="20" borderId="87" xfId="0" applyFont="1" applyFill="1" applyBorder="1" applyAlignment="1" applyProtection="1">
      <alignment horizontal="center" vertical="center"/>
      <protection locked="0"/>
    </xf>
    <xf numFmtId="0" fontId="14" fillId="20" borderId="155" xfId="0" applyFont="1" applyFill="1" applyBorder="1" applyAlignment="1" applyProtection="1">
      <alignment horizontal="center" vertical="center"/>
      <protection locked="0"/>
    </xf>
    <xf numFmtId="0" fontId="29" fillId="21" borderId="61" xfId="0" applyFont="1" applyFill="1" applyBorder="1" applyAlignment="1" applyProtection="1">
      <alignment horizontal="center" vertical="center"/>
      <protection hidden="1"/>
    </xf>
    <xf numFmtId="0" fontId="29" fillId="21" borderId="68" xfId="0" applyFont="1" applyFill="1" applyBorder="1" applyAlignment="1" applyProtection="1">
      <alignment horizontal="center" vertical="center"/>
      <protection hidden="1"/>
    </xf>
    <xf numFmtId="0" fontId="29" fillId="21" borderId="54" xfId="0" applyFont="1" applyFill="1" applyBorder="1" applyAlignment="1" applyProtection="1">
      <alignment horizontal="center" vertical="center"/>
      <protection hidden="1"/>
    </xf>
    <xf numFmtId="0" fontId="29" fillId="21" borderId="16" xfId="0" applyFont="1" applyFill="1" applyBorder="1" applyAlignment="1" applyProtection="1">
      <alignment horizontal="center" vertical="center"/>
      <protection hidden="1"/>
    </xf>
    <xf numFmtId="0" fontId="29" fillId="21" borderId="10" xfId="0" applyFont="1" applyFill="1" applyBorder="1" applyAlignment="1" applyProtection="1">
      <alignment horizontal="center" vertical="center"/>
      <protection hidden="1"/>
    </xf>
    <xf numFmtId="0" fontId="29" fillId="21" borderId="37" xfId="0" applyFont="1" applyFill="1" applyBorder="1" applyAlignment="1" applyProtection="1">
      <alignment horizontal="center" vertical="center"/>
      <protection hidden="1"/>
    </xf>
    <xf numFmtId="0" fontId="35" fillId="21" borderId="117" xfId="0" applyFont="1" applyFill="1" applyBorder="1" applyAlignment="1" applyProtection="1">
      <alignment horizontal="center" vertical="center"/>
      <protection hidden="1"/>
    </xf>
    <xf numFmtId="0" fontId="35" fillId="21" borderId="118" xfId="0" applyFont="1" applyFill="1" applyBorder="1" applyAlignment="1" applyProtection="1">
      <alignment horizontal="center" vertical="center"/>
      <protection hidden="1"/>
    </xf>
    <xf numFmtId="0" fontId="35" fillId="21" borderId="130" xfId="0" applyFont="1" applyFill="1" applyBorder="1" applyAlignment="1" applyProtection="1">
      <alignment horizontal="center" vertical="center"/>
      <protection hidden="1"/>
    </xf>
    <xf numFmtId="0" fontId="35" fillId="21" borderId="115" xfId="0" applyFont="1" applyFill="1" applyBorder="1" applyAlignment="1" applyProtection="1">
      <alignment horizontal="center" vertical="center"/>
      <protection hidden="1"/>
    </xf>
    <xf numFmtId="0" fontId="35" fillId="21" borderId="10" xfId="0" applyFont="1" applyFill="1" applyBorder="1" applyAlignment="1" applyProtection="1">
      <alignment horizontal="center" vertical="center"/>
      <protection hidden="1"/>
    </xf>
    <xf numFmtId="0" fontId="35" fillId="21" borderId="37" xfId="0" applyFont="1" applyFill="1" applyBorder="1" applyAlignment="1" applyProtection="1">
      <alignment horizontal="center" vertical="center"/>
      <protection hidden="1"/>
    </xf>
    <xf numFmtId="0" fontId="10" fillId="16" borderId="20" xfId="0" applyFont="1" applyFill="1" applyBorder="1" applyAlignment="1">
      <alignment horizontal="left" vertical="center" wrapText="1"/>
    </xf>
    <xf numFmtId="0" fontId="10" fillId="16" borderId="21" xfId="0" applyFont="1" applyFill="1" applyBorder="1" applyAlignment="1">
      <alignment horizontal="left" vertical="center" wrapText="1"/>
    </xf>
    <xf numFmtId="0" fontId="9" fillId="16" borderId="20" xfId="0" applyFont="1" applyFill="1" applyBorder="1" applyAlignment="1">
      <alignment horizontal="left"/>
    </xf>
    <xf numFmtId="0" fontId="9" fillId="16" borderId="21" xfId="0" applyFont="1" applyFill="1" applyBorder="1" applyAlignment="1">
      <alignment horizontal="left"/>
    </xf>
    <xf numFmtId="0" fontId="51" fillId="0" borderId="76" xfId="0" applyFont="1" applyBorder="1" applyAlignment="1" applyProtection="1">
      <alignment horizontal="center" vertical="center" wrapText="1"/>
      <protection hidden="1"/>
    </xf>
    <xf numFmtId="0" fontId="51" fillId="0" borderId="77" xfId="0" applyFont="1" applyBorder="1" applyAlignment="1" applyProtection="1">
      <alignment horizontal="center" vertical="center" wrapText="1"/>
      <protection hidden="1"/>
    </xf>
    <xf numFmtId="0" fontId="0" fillId="17" borderId="30" xfId="0" applyFill="1" applyBorder="1" applyAlignment="1">
      <alignment horizontal="center"/>
    </xf>
    <xf numFmtId="0" fontId="0" fillId="17" borderId="29" xfId="0" applyFill="1" applyBorder="1" applyAlignment="1">
      <alignment horizontal="center"/>
    </xf>
    <xf numFmtId="0" fontId="28" fillId="17" borderId="61" xfId="0" applyFont="1" applyFill="1" applyBorder="1" applyAlignment="1" applyProtection="1">
      <alignment horizontal="center" vertical="center"/>
      <protection hidden="1"/>
    </xf>
    <xf numFmtId="0" fontId="28" fillId="17" borderId="126" xfId="0" applyFont="1" applyFill="1" applyBorder="1" applyAlignment="1" applyProtection="1">
      <alignment horizontal="center" vertical="center"/>
      <protection hidden="1"/>
    </xf>
    <xf numFmtId="0" fontId="28" fillId="17" borderId="36" xfId="0" applyFont="1" applyFill="1" applyBorder="1" applyAlignment="1" applyProtection="1">
      <alignment horizontal="center" vertical="center"/>
      <protection hidden="1"/>
    </xf>
    <xf numFmtId="0" fontId="28" fillId="17" borderId="127" xfId="0" applyFont="1" applyFill="1" applyBorder="1" applyAlignment="1" applyProtection="1">
      <alignment horizontal="center" vertical="center"/>
      <protection hidden="1"/>
    </xf>
    <xf numFmtId="0" fontId="28" fillId="17" borderId="115" xfId="0" applyFont="1" applyFill="1" applyBorder="1" applyAlignment="1" applyProtection="1">
      <alignment horizontal="center" vertical="center"/>
      <protection hidden="1"/>
    </xf>
    <xf numFmtId="0" fontId="28" fillId="17" borderId="10" xfId="0" applyFont="1" applyFill="1" applyBorder="1" applyAlignment="1" applyProtection="1">
      <alignment horizontal="center" vertical="center"/>
      <protection hidden="1"/>
    </xf>
    <xf numFmtId="0" fontId="28" fillId="17" borderId="116" xfId="0" applyFont="1" applyFill="1" applyBorder="1" applyAlignment="1" applyProtection="1">
      <alignment horizontal="center" vertical="center"/>
      <protection hidden="1"/>
    </xf>
    <xf numFmtId="0" fontId="28" fillId="6" borderId="58" xfId="0" applyFont="1" applyFill="1" applyBorder="1" applyAlignment="1" applyProtection="1">
      <alignment horizontal="center" vertical="center"/>
      <protection hidden="1"/>
    </xf>
    <xf numFmtId="0" fontId="28" fillId="6" borderId="87" xfId="0" applyFont="1" applyFill="1" applyBorder="1" applyAlignment="1" applyProtection="1">
      <alignment horizontal="center" vertical="center"/>
      <protection hidden="1"/>
    </xf>
    <xf numFmtId="0" fontId="28" fillId="6" borderId="56" xfId="0" applyFont="1" applyFill="1" applyBorder="1" applyAlignment="1" applyProtection="1">
      <alignment horizontal="center" vertical="center"/>
      <protection hidden="1"/>
    </xf>
    <xf numFmtId="0" fontId="31" fillId="4" borderId="58" xfId="0" applyFont="1" applyFill="1" applyBorder="1" applyAlignment="1" applyProtection="1">
      <alignment horizontal="center" vertical="center"/>
      <protection hidden="1"/>
    </xf>
    <xf numFmtId="0" fontId="31" fillId="4" borderId="87" xfId="0" applyFont="1" applyFill="1" applyBorder="1" applyAlignment="1" applyProtection="1">
      <alignment horizontal="center" vertical="center"/>
      <protection hidden="1"/>
    </xf>
    <xf numFmtId="0" fontId="31" fillId="4" borderId="56" xfId="0" applyFont="1" applyFill="1" applyBorder="1" applyAlignment="1" applyProtection="1">
      <alignment horizontal="center" vertical="center"/>
      <protection hidden="1"/>
    </xf>
    <xf numFmtId="0" fontId="31" fillId="7" borderId="58" xfId="0" applyFont="1" applyFill="1" applyBorder="1" applyAlignment="1" applyProtection="1">
      <alignment horizontal="center" vertical="center"/>
      <protection hidden="1"/>
    </xf>
    <xf numFmtId="0" fontId="31" fillId="7" borderId="87" xfId="0" applyFont="1" applyFill="1" applyBorder="1" applyAlignment="1" applyProtection="1">
      <alignment horizontal="center" vertical="center"/>
      <protection hidden="1"/>
    </xf>
    <xf numFmtId="0" fontId="31" fillId="7" borderId="17" xfId="0" applyFont="1" applyFill="1" applyBorder="1" applyAlignment="1" applyProtection="1">
      <alignment horizontal="center" vertical="center"/>
      <protection hidden="1"/>
    </xf>
    <xf numFmtId="0" fontId="36" fillId="16" borderId="128" xfId="0" applyFont="1" applyFill="1" applyBorder="1" applyAlignment="1" applyProtection="1">
      <alignment horizontal="left" vertical="center"/>
      <protection hidden="1"/>
    </xf>
    <xf numFmtId="0" fontId="36" fillId="16" borderId="129" xfId="0" applyFont="1" applyFill="1" applyBorder="1" applyAlignment="1" applyProtection="1">
      <alignment horizontal="left" vertical="center"/>
      <protection hidden="1"/>
    </xf>
    <xf numFmtId="0" fontId="36" fillId="16" borderId="98" xfId="0" applyFont="1" applyFill="1" applyBorder="1" applyAlignment="1" applyProtection="1">
      <alignment horizontal="left" vertical="center"/>
      <protection hidden="1"/>
    </xf>
    <xf numFmtId="0" fontId="36" fillId="16" borderId="73" xfId="0" applyFont="1" applyFill="1" applyBorder="1" applyAlignment="1" applyProtection="1">
      <alignment horizontal="left" vertical="center"/>
      <protection hidden="1"/>
    </xf>
    <xf numFmtId="0" fontId="36" fillId="16" borderId="74" xfId="0" applyFont="1" applyFill="1" applyBorder="1" applyAlignment="1" applyProtection="1">
      <alignment horizontal="left" vertical="center"/>
      <protection hidden="1"/>
    </xf>
    <xf numFmtId="0" fontId="36" fillId="16" borderId="85" xfId="0" applyFont="1" applyFill="1" applyBorder="1" applyAlignment="1" applyProtection="1">
      <alignment horizontal="left" vertical="center"/>
      <protection hidden="1"/>
    </xf>
    <xf numFmtId="0" fontId="29" fillId="22" borderId="84" xfId="0" applyFont="1" applyFill="1" applyBorder="1" applyAlignment="1" applyProtection="1">
      <alignment horizontal="center" vertical="center"/>
      <protection locked="0"/>
    </xf>
    <xf numFmtId="0" fontId="29" fillId="22" borderId="75" xfId="0" applyFont="1" applyFill="1" applyBorder="1" applyAlignment="1" applyProtection="1">
      <alignment horizontal="center" vertical="center"/>
      <protection locked="0"/>
    </xf>
    <xf numFmtId="0" fontId="35" fillId="16" borderId="125" xfId="0" applyFont="1" applyFill="1" applyBorder="1" applyAlignment="1" applyProtection="1">
      <alignment horizontal="left" vertical="center"/>
      <protection hidden="1"/>
    </xf>
    <xf numFmtId="0" fontId="35" fillId="16" borderId="83" xfId="0" applyFont="1" applyFill="1" applyBorder="1" applyAlignment="1" applyProtection="1">
      <alignment horizontal="left" vertical="center"/>
      <protection hidden="1"/>
    </xf>
    <xf numFmtId="0" fontId="35" fillId="0" borderId="58" xfId="0" applyFont="1" applyBorder="1" applyAlignment="1" applyProtection="1">
      <alignment horizontal="center" vertical="center" wrapText="1"/>
      <protection hidden="1"/>
    </xf>
    <xf numFmtId="0" fontId="35" fillId="0" borderId="56" xfId="0" applyFont="1" applyBorder="1" applyAlignment="1" applyProtection="1">
      <alignment horizontal="center" vertical="center" wrapText="1"/>
      <protection hidden="1"/>
    </xf>
    <xf numFmtId="0" fontId="7" fillId="17" borderId="160" xfId="0" applyFont="1" applyFill="1" applyBorder="1" applyAlignment="1">
      <alignment horizontal="center" vertical="center" wrapText="1"/>
    </xf>
    <xf numFmtId="0" fontId="0" fillId="17" borderId="0" xfId="0" applyFill="1" applyAlignment="1">
      <alignment horizontal="center" vertical="center" wrapText="1"/>
    </xf>
    <xf numFmtId="0" fontId="0" fillId="17" borderId="110" xfId="0" applyFill="1" applyBorder="1" applyAlignment="1">
      <alignment horizontal="center" vertical="center" wrapText="1"/>
    </xf>
    <xf numFmtId="0" fontId="7" fillId="17" borderId="78" xfId="0" applyFont="1" applyFill="1" applyBorder="1" applyAlignment="1">
      <alignment horizontal="center" vertical="center" wrapText="1"/>
    </xf>
    <xf numFmtId="0" fontId="7" fillId="17" borderId="0" xfId="0" applyFont="1" applyFill="1" applyAlignment="1">
      <alignment horizontal="center" vertical="center" wrapText="1"/>
    </xf>
    <xf numFmtId="0" fontId="7" fillId="17" borderId="108" xfId="0" applyFont="1" applyFill="1" applyBorder="1" applyAlignment="1">
      <alignment horizontal="center" vertical="center" wrapText="1"/>
    </xf>
    <xf numFmtId="0" fontId="0" fillId="17" borderId="111" xfId="0" applyFill="1" applyBorder="1" applyAlignment="1">
      <alignment horizontal="center"/>
    </xf>
    <xf numFmtId="0" fontId="0" fillId="17" borderId="112" xfId="0" applyFill="1" applyBorder="1" applyAlignment="1">
      <alignment horizontal="center"/>
    </xf>
    <xf numFmtId="0" fontId="0" fillId="17" borderId="113" xfId="0" applyFill="1" applyBorder="1" applyAlignment="1">
      <alignment horizontal="center"/>
    </xf>
    <xf numFmtId="1" fontId="40" fillId="0" borderId="65" xfId="0" applyNumberFormat="1" applyFont="1" applyBorder="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 fontId="40" fillId="0" borderId="86" xfId="0" applyNumberFormat="1" applyFont="1" applyBorder="1" applyAlignment="1" applyProtection="1">
      <alignment horizontal="center" vertical="center"/>
      <protection hidden="1"/>
    </xf>
    <xf numFmtId="1" fontId="40" fillId="0" borderId="62" xfId="0" applyNumberFormat="1" applyFont="1" applyBorder="1" applyAlignment="1" applyProtection="1">
      <alignment horizontal="center" vertical="center"/>
      <protection hidden="1"/>
    </xf>
    <xf numFmtId="1" fontId="40" fillId="0" borderId="63" xfId="0" applyNumberFormat="1" applyFont="1" applyBorder="1" applyAlignment="1" applyProtection="1">
      <alignment horizontal="center" vertical="center"/>
      <protection hidden="1"/>
    </xf>
    <xf numFmtId="1" fontId="40" fillId="0" borderId="64" xfId="0" applyNumberFormat="1" applyFont="1" applyBorder="1" applyAlignment="1" applyProtection="1">
      <alignment horizontal="center" vertical="center"/>
      <protection hidden="1"/>
    </xf>
    <xf numFmtId="0" fontId="48" fillId="17" borderId="117" xfId="0" applyFont="1" applyFill="1" applyBorder="1" applyAlignment="1" applyProtection="1">
      <alignment horizontal="center" vertical="center"/>
      <protection hidden="1"/>
    </xf>
    <xf numFmtId="0" fontId="48" fillId="17" borderId="118" xfId="0" applyFont="1" applyFill="1" applyBorder="1" applyAlignment="1" applyProtection="1">
      <alignment horizontal="center" vertical="center"/>
      <protection hidden="1"/>
    </xf>
    <xf numFmtId="0" fontId="48" fillId="17" borderId="119" xfId="0" applyFont="1" applyFill="1" applyBorder="1" applyAlignment="1" applyProtection="1">
      <alignment horizontal="center" vertical="center"/>
      <protection hidden="1"/>
    </xf>
    <xf numFmtId="0" fontId="48" fillId="17" borderId="126" xfId="0" applyFont="1" applyFill="1" applyBorder="1" applyAlignment="1" applyProtection="1">
      <alignment horizontal="center" vertical="center"/>
      <protection hidden="1"/>
    </xf>
    <xf numFmtId="0" fontId="48" fillId="17" borderId="36" xfId="0" applyFont="1" applyFill="1" applyBorder="1" applyAlignment="1" applyProtection="1">
      <alignment horizontal="center" vertical="center"/>
      <protection hidden="1"/>
    </xf>
    <xf numFmtId="0" fontId="48" fillId="17" borderId="127" xfId="0" applyFont="1" applyFill="1" applyBorder="1" applyAlignment="1" applyProtection="1">
      <alignment horizontal="center" vertical="center"/>
      <protection hidden="1"/>
    </xf>
    <xf numFmtId="0" fontId="21" fillId="14" borderId="177" xfId="0" applyFont="1" applyFill="1" applyBorder="1" applyAlignment="1" applyProtection="1">
      <alignment horizontal="center" vertical="center"/>
      <protection hidden="1"/>
    </xf>
    <xf numFmtId="0" fontId="21" fillId="14" borderId="179" xfId="0" applyFont="1" applyFill="1" applyBorder="1" applyAlignment="1" applyProtection="1">
      <alignment horizontal="center" vertical="center"/>
      <protection hidden="1"/>
    </xf>
    <xf numFmtId="0" fontId="34" fillId="21" borderId="117" xfId="0" applyFont="1" applyFill="1" applyBorder="1" applyAlignment="1" applyProtection="1">
      <alignment horizontal="center" vertical="center"/>
      <protection hidden="1"/>
    </xf>
    <xf numFmtId="0" fontId="34" fillId="21" borderId="118" xfId="0" applyFont="1" applyFill="1" applyBorder="1" applyAlignment="1" applyProtection="1">
      <alignment horizontal="center" vertical="center"/>
      <protection hidden="1"/>
    </xf>
    <xf numFmtId="0" fontId="34" fillId="21" borderId="119" xfId="0" applyFont="1" applyFill="1" applyBorder="1" applyAlignment="1" applyProtection="1">
      <alignment horizontal="center" vertical="center"/>
      <protection hidden="1"/>
    </xf>
    <xf numFmtId="0" fontId="34" fillId="21" borderId="115" xfId="0" applyFont="1" applyFill="1" applyBorder="1" applyAlignment="1" applyProtection="1">
      <alignment horizontal="center" vertical="center"/>
      <protection hidden="1"/>
    </xf>
    <xf numFmtId="0" fontId="34" fillId="21" borderId="10" xfId="0" applyFont="1" applyFill="1" applyBorder="1" applyAlignment="1" applyProtection="1">
      <alignment horizontal="center" vertical="center"/>
      <protection hidden="1"/>
    </xf>
    <xf numFmtId="0" fontId="34" fillId="21" borderId="116" xfId="0" applyFont="1" applyFill="1" applyBorder="1" applyAlignment="1" applyProtection="1">
      <alignment horizontal="center" vertical="center"/>
      <protection hidden="1"/>
    </xf>
    <xf numFmtId="0" fontId="33" fillId="17" borderId="105" xfId="0" applyFont="1" applyFill="1" applyBorder="1" applyAlignment="1" applyProtection="1">
      <alignment horizontal="center" vertical="center"/>
      <protection hidden="1"/>
    </xf>
    <xf numFmtId="0" fontId="33" fillId="17" borderId="78" xfId="0" applyFont="1" applyFill="1" applyBorder="1" applyAlignment="1" applyProtection="1">
      <alignment horizontal="center" vertical="center"/>
      <protection hidden="1"/>
    </xf>
    <xf numFmtId="0" fontId="0" fillId="0" borderId="1" xfId="0" applyBorder="1" applyAlignment="1">
      <alignment horizontal="center" vertical="center"/>
    </xf>
    <xf numFmtId="0" fontId="0" fillId="0" borderId="46"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0" fontId="0" fillId="0" borderId="49"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50" xfId="0" applyBorder="1" applyAlignment="1">
      <alignment horizontal="center"/>
    </xf>
    <xf numFmtId="0" fontId="0" fillId="0" borderId="15" xfId="0" applyBorder="1" applyAlignment="1">
      <alignment horizontal="center" vertical="center"/>
    </xf>
    <xf numFmtId="0" fontId="0" fillId="0" borderId="31" xfId="0" applyBorder="1" applyAlignment="1">
      <alignment horizontal="center" vertical="center"/>
    </xf>
    <xf numFmtId="0" fontId="0" fillId="0" borderId="36" xfId="0"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51" xfId="0" applyFont="1" applyBorder="1" applyAlignment="1">
      <alignment horizontal="center"/>
    </xf>
    <xf numFmtId="0" fontId="1" fillId="0" borderId="52" xfId="0" applyFont="1" applyBorder="1" applyAlignment="1">
      <alignment horizontal="center"/>
    </xf>
    <xf numFmtId="0" fontId="7" fillId="11" borderId="5" xfId="0" applyFont="1" applyFill="1" applyBorder="1" applyAlignment="1">
      <alignment horizontal="center"/>
    </xf>
    <xf numFmtId="0" fontId="7" fillId="11" borderId="4" xfId="0" applyFont="1" applyFill="1" applyBorder="1" applyAlignment="1">
      <alignment horizontal="center"/>
    </xf>
    <xf numFmtId="0" fontId="7" fillId="11" borderId="6" xfId="0" applyFont="1" applyFill="1" applyBorder="1" applyAlignment="1">
      <alignment horizontal="center"/>
    </xf>
    <xf numFmtId="0" fontId="7" fillId="11" borderId="30" xfId="0" applyFont="1" applyFill="1" applyBorder="1" applyAlignment="1">
      <alignment horizontal="center"/>
    </xf>
    <xf numFmtId="0" fontId="7" fillId="11" borderId="0" xfId="0" applyFont="1" applyFill="1" applyAlignment="1">
      <alignment horizontal="center"/>
    </xf>
    <xf numFmtId="0" fontId="7" fillId="11" borderId="18" xfId="0" applyFont="1" applyFill="1" applyBorder="1" applyAlignment="1">
      <alignment horizontal="center"/>
    </xf>
    <xf numFmtId="0" fontId="7" fillId="11" borderId="27" xfId="0" applyFont="1" applyFill="1" applyBorder="1" applyAlignment="1">
      <alignment horizontal="center"/>
    </xf>
    <xf numFmtId="0" fontId="7" fillId="11" borderId="32" xfId="0" applyFont="1" applyFill="1" applyBorder="1" applyAlignment="1">
      <alignment horizontal="center"/>
    </xf>
    <xf numFmtId="0" fontId="7" fillId="11" borderId="26" xfId="0" applyFont="1" applyFill="1" applyBorder="1" applyAlignment="1">
      <alignment horizontal="center"/>
    </xf>
  </cellXfs>
  <cellStyles count="2">
    <cellStyle name="Hyperlink" xfId="1" builtinId="8"/>
    <cellStyle name="Normal" xfId="0" builtinId="0"/>
  </cellStyles>
  <dxfs count="34">
    <dxf>
      <font>
        <color theme="0"/>
      </font>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ont>
        <color theme="0"/>
      </font>
      <fill>
        <patternFill>
          <bgColor rgb="FFFF0000"/>
        </patternFill>
      </fill>
    </dxf>
    <dxf>
      <fill>
        <patternFill>
          <bgColor rgb="FF00B050"/>
        </patternFill>
      </fill>
    </dxf>
    <dxf>
      <fill>
        <patternFill>
          <bgColor rgb="FFFFC000"/>
        </patternFill>
      </fill>
    </dxf>
    <dxf>
      <fill>
        <patternFill>
          <bgColor rgb="FFFFC000"/>
        </patternFill>
      </fill>
    </dxf>
    <dxf>
      <fill>
        <patternFill>
          <bgColor rgb="FF00B050"/>
        </patternFill>
      </fill>
    </dxf>
    <dxf>
      <font>
        <color theme="0"/>
      </font>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ont>
        <color theme="0"/>
      </font>
      <fill>
        <patternFill>
          <bgColor rgb="FF7030A0"/>
        </patternFill>
      </fill>
    </dxf>
    <dxf>
      <font>
        <color theme="0"/>
      </font>
      <fill>
        <patternFill>
          <bgColor theme="1"/>
        </patternFill>
      </fill>
    </dxf>
    <dxf>
      <font>
        <color theme="0"/>
      </font>
      <numFmt numFmtId="0" formatCode="General"/>
      <fill>
        <patternFill>
          <bgColor rgb="FF7030A0"/>
        </patternFill>
      </fill>
    </dxf>
    <dxf>
      <font>
        <color theme="0"/>
      </font>
      <fill>
        <patternFill>
          <bgColor theme="1"/>
        </patternFill>
      </fill>
    </dxf>
    <dxf>
      <font>
        <color theme="0"/>
      </font>
      <fill>
        <patternFill>
          <bgColor theme="1"/>
        </patternFill>
      </fill>
    </dxf>
    <dxf>
      <font>
        <color theme="0"/>
      </font>
      <fill>
        <patternFill>
          <bgColor rgb="FF7030A0"/>
        </patternFill>
      </fill>
    </dxf>
    <dxf>
      <font>
        <color auto="1"/>
      </font>
      <fill>
        <patternFill>
          <bgColor rgb="FF00B050"/>
        </patternFill>
      </fill>
    </dxf>
    <dxf>
      <font>
        <color auto="1"/>
      </font>
      <fill>
        <patternFill>
          <bgColor rgb="FFFFFF00"/>
        </patternFill>
      </fill>
    </dxf>
    <dxf>
      <font>
        <color auto="1"/>
      </font>
      <fill>
        <patternFill>
          <bgColor rgb="FFFFC000"/>
        </patternFill>
      </fill>
    </dxf>
    <dxf>
      <font>
        <color theme="0"/>
      </font>
      <fill>
        <patternFill>
          <bgColor rgb="FFFF0000"/>
        </patternFill>
      </fill>
    </dxf>
    <dxf>
      <font>
        <strike/>
        <color rgb="FFFF0000"/>
      </font>
      <fill>
        <gradientFill type="path" left="0.5" right="0.5" top="0.5" bottom="0.5">
          <stop position="0">
            <color theme="0"/>
          </stop>
          <stop position="1">
            <color theme="1"/>
          </stop>
        </gradientFill>
      </fill>
    </dxf>
    <dxf>
      <fill>
        <patternFill>
          <bgColor rgb="FFD4C7B0"/>
        </patternFill>
      </fill>
    </dxf>
    <dxf>
      <fill>
        <patternFill>
          <bgColor rgb="FF003366"/>
        </patternFill>
      </fill>
    </dxf>
    <dxf>
      <fill>
        <patternFill>
          <bgColor rgb="FF003366"/>
        </patternFill>
      </fill>
    </dxf>
    <dxf>
      <font>
        <color theme="0"/>
      </font>
      <fill>
        <patternFill>
          <bgColor rgb="FFFF0000"/>
        </patternFill>
      </fill>
    </dxf>
    <dxf>
      <font>
        <color theme="0"/>
      </font>
      <fill>
        <patternFill>
          <bgColor rgb="FFFF0000"/>
        </patternFill>
      </fill>
    </dxf>
    <dxf>
      <fill>
        <patternFill>
          <bgColor rgb="FF003366"/>
        </patternFill>
      </fill>
    </dxf>
  </dxfs>
  <tableStyles count="0" defaultTableStyle="TableStyleMedium2" defaultPivotStyle="PivotStyleLight16"/>
  <colors>
    <mruColors>
      <color rgb="FFE48E1B"/>
      <color rgb="FFD4C7B0"/>
      <color rgb="FF003366"/>
      <color rgb="FF0066CC"/>
      <color rgb="FF0099CC"/>
      <color rgb="FF3366CC"/>
      <color rgb="FF215E9B"/>
      <color rgb="FF2466A8"/>
      <color rgb="FF2364A5"/>
      <color rgb="FF1B4D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xlMacrosheet" Target="macrosheets/sheet1.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20</xdr:row>
          <xdr:rowOff>350520</xdr:rowOff>
        </xdr:from>
        <xdr:to>
          <xdr:col>22</xdr:col>
          <xdr:colOff>0</xdr:colOff>
          <xdr:row>22</xdr:row>
          <xdr:rowOff>304800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ea typeface="Calibri"/>
                  <a:cs typeface="Calibri"/>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13</xdr:row>
          <xdr:rowOff>152400</xdr:rowOff>
        </xdr:from>
        <xdr:to>
          <xdr:col>22</xdr:col>
          <xdr:colOff>0</xdr:colOff>
          <xdr:row>15</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ea typeface="Calibri"/>
                  <a:cs typeface="Calibri"/>
                </a:rPr>
                <a:t>Save Hazard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45720</xdr:rowOff>
        </xdr:from>
        <xdr:to>
          <xdr:col>22</xdr:col>
          <xdr:colOff>0</xdr:colOff>
          <xdr:row>18</xdr:row>
          <xdr:rowOff>7620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ea typeface="Calibri"/>
                  <a:cs typeface="Calibri"/>
                </a:rPr>
                <a:t>Clear All Hazards from Current 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15</xdr:row>
          <xdr:rowOff>251460</xdr:rowOff>
        </xdr:from>
        <xdr:to>
          <xdr:col>22</xdr:col>
          <xdr:colOff>0</xdr:colOff>
          <xdr:row>16</xdr:row>
          <xdr:rowOff>213360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ea typeface="Calibri"/>
                  <a:cs typeface="Calibri"/>
                </a:rPr>
                <a:t>Load Hazard From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19</xdr:row>
          <xdr:rowOff>144780</xdr:rowOff>
        </xdr:from>
        <xdr:to>
          <xdr:col>22</xdr:col>
          <xdr:colOff>0</xdr:colOff>
          <xdr:row>20</xdr:row>
          <xdr:rowOff>114300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ea typeface="Calibri"/>
                  <a:cs typeface="Calibri"/>
                </a:rPr>
                <a:t>New Property</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460BBD00-A8ED-4943-99C0-A48D7B36E858}">
  <dimension ref="A1"/>
  <sheetViews>
    <sheetView showFormulas="1" workbookViewId="0">
      <selection activeCell="A2" sqref="A2"/>
    </sheetView>
  </sheetViews>
  <sheetFormatPr defaultRowHeight="15.6" x14ac:dyDescent="0.3"/>
  <sheetData/>
  <pageMargins left="0.7" right="0.7" top="0.75" bottom="0.75" header="0.3" footer="0.3"/>
</xm:macrosheet>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safesuffolkrenters.org/wp-content/uploads/2026/05/Spooner-HHSRS2-Scoring-Sheet-v2-Instructions.docx"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hyperlink" Target="https://safesuffolkrenters.org/wp-content/uploads/2026/05/Spooner-HHSRS2-Scoring-Sheet-v2-Instructions.doc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46EE-5256-4FC9-8837-6B1535FEA86D}">
  <sheetPr codeName="Sheet1">
    <pageSetUpPr fitToPage="1"/>
  </sheetPr>
  <dimension ref="A1:V221"/>
  <sheetViews>
    <sheetView showGridLines="0" tabSelected="1" zoomScaleNormal="100" workbookViewId="0">
      <selection activeCell="Q4" sqref="Q4:V10"/>
    </sheetView>
  </sheetViews>
  <sheetFormatPr defaultRowHeight="15.6" x14ac:dyDescent="0.3"/>
  <cols>
    <col min="1" max="1" width="11.3984375" style="78" customWidth="1"/>
    <col min="2" max="14" width="11.19921875" customWidth="1"/>
    <col min="15" max="16" width="11.3984375" customWidth="1"/>
    <col min="17" max="17" width="9" style="78" customWidth="1"/>
    <col min="20" max="20" width="6" customWidth="1"/>
    <col min="21" max="21" width="6.69921875" customWidth="1"/>
    <col min="22" max="22" width="13.5" style="26" customWidth="1"/>
  </cols>
  <sheetData>
    <row r="1" spans="1:22" s="82" customFormat="1" ht="15.75" customHeight="1" thickTop="1" x14ac:dyDescent="0.3">
      <c r="A1" s="482" t="s">
        <v>342</v>
      </c>
      <c r="B1" s="459"/>
      <c r="C1" s="459"/>
      <c r="D1" s="459"/>
      <c r="E1" s="460"/>
      <c r="F1" s="458" t="str">
        <f>"Hazard Number"&amp;" - "&amp;D20</f>
        <v xml:space="preserve">Hazard Number - </v>
      </c>
      <c r="G1" s="459"/>
      <c r="H1" s="460"/>
      <c r="I1" s="458" t="str">
        <f>_xlfn.XLOOKUP(D20, 'Helper Cells'!A3:A23, 'Helper Cells'!B3:B23, "Enter Hazard Number in Cell D20")</f>
        <v>Enter Hazard Number in Cell D20</v>
      </c>
      <c r="J1" s="459"/>
      <c r="K1" s="459"/>
      <c r="L1" s="459"/>
      <c r="M1" s="459"/>
      <c r="N1" s="459"/>
      <c r="O1" s="459"/>
      <c r="P1" s="464"/>
      <c r="Q1" s="155" t="s">
        <v>701</v>
      </c>
      <c r="R1" s="156"/>
      <c r="S1" s="156"/>
      <c r="T1" s="156"/>
      <c r="U1" s="156" t="e" vm="1">
        <v>#VALUE!</v>
      </c>
      <c r="V1" s="159"/>
    </row>
    <row r="2" spans="1:22" ht="33" customHeight="1" thickBot="1" x14ac:dyDescent="0.35">
      <c r="A2" s="483"/>
      <c r="B2" s="462"/>
      <c r="C2" s="462"/>
      <c r="D2" s="462"/>
      <c r="E2" s="463"/>
      <c r="F2" s="461"/>
      <c r="G2" s="462"/>
      <c r="H2" s="463"/>
      <c r="I2" s="461"/>
      <c r="J2" s="462"/>
      <c r="K2" s="462"/>
      <c r="L2" s="462"/>
      <c r="M2" s="462"/>
      <c r="N2" s="462"/>
      <c r="O2" s="462"/>
      <c r="P2" s="465"/>
      <c r="Q2" s="157"/>
      <c r="R2" s="158"/>
      <c r="S2" s="158"/>
      <c r="T2" s="158"/>
      <c r="U2" s="158"/>
      <c r="V2" s="160"/>
    </row>
    <row r="3" spans="1:22" ht="5.25" customHeight="1" thickBot="1" x14ac:dyDescent="0.35">
      <c r="A3" s="472"/>
      <c r="B3" s="473"/>
      <c r="C3" s="473"/>
      <c r="D3" s="473"/>
      <c r="E3" s="473"/>
      <c r="F3" s="473"/>
      <c r="G3" s="473"/>
      <c r="H3" s="473"/>
      <c r="I3" s="473"/>
      <c r="J3" s="473"/>
      <c r="K3" s="473"/>
      <c r="L3" s="473"/>
      <c r="M3" s="473"/>
      <c r="N3" s="473"/>
      <c r="O3" s="473"/>
      <c r="P3" s="474"/>
      <c r="Q3" s="87"/>
      <c r="R3" s="88"/>
      <c r="S3" s="88"/>
      <c r="T3" s="88"/>
      <c r="U3" s="88"/>
      <c r="V3" s="89"/>
    </row>
    <row r="4" spans="1:22" ht="18.75" customHeight="1" thickTop="1" thickBot="1" x14ac:dyDescent="0.35">
      <c r="A4" s="396"/>
      <c r="B4" s="411" t="s">
        <v>90</v>
      </c>
      <c r="C4" s="412"/>
      <c r="D4" s="413"/>
      <c r="E4" s="397"/>
      <c r="F4" s="475"/>
      <c r="G4" s="414" t="s">
        <v>93</v>
      </c>
      <c r="H4" s="415"/>
      <c r="I4" s="416"/>
      <c r="J4" s="397"/>
      <c r="K4" s="475"/>
      <c r="L4" s="414" t="s">
        <v>91</v>
      </c>
      <c r="M4" s="415"/>
      <c r="N4" s="416"/>
      <c r="O4" s="397"/>
      <c r="P4" s="141"/>
      <c r="Q4" s="313" t="e" vm="2">
        <v>#VALUE!</v>
      </c>
      <c r="R4" s="314"/>
      <c r="S4" s="314"/>
      <c r="T4" s="314"/>
      <c r="U4" s="314"/>
      <c r="V4" s="315"/>
    </row>
    <row r="5" spans="1:22" ht="21" customHeight="1" x14ac:dyDescent="0.3">
      <c r="A5" s="396"/>
      <c r="B5" s="417" t="str">
        <f>B171</f>
        <v/>
      </c>
      <c r="C5" s="418"/>
      <c r="D5" s="419"/>
      <c r="E5" s="397"/>
      <c r="F5" s="475"/>
      <c r="G5" s="423" t="str">
        <f>G171</f>
        <v/>
      </c>
      <c r="H5" s="424"/>
      <c r="I5" s="425"/>
      <c r="J5" s="397"/>
      <c r="K5" s="475"/>
      <c r="L5" s="429" t="str">
        <f>L171</f>
        <v/>
      </c>
      <c r="M5" s="430"/>
      <c r="N5" s="431"/>
      <c r="O5" s="397"/>
      <c r="P5" s="141"/>
      <c r="Q5" s="316"/>
      <c r="R5" s="317"/>
      <c r="S5" s="317"/>
      <c r="T5" s="317"/>
      <c r="U5" s="317"/>
      <c r="V5" s="318"/>
    </row>
    <row r="6" spans="1:22" ht="15.75" customHeight="1" thickBot="1" x14ac:dyDescent="0.35">
      <c r="A6" s="396"/>
      <c r="B6" s="420"/>
      <c r="C6" s="421"/>
      <c r="D6" s="422"/>
      <c r="E6" s="397"/>
      <c r="F6" s="475"/>
      <c r="G6" s="426"/>
      <c r="H6" s="427"/>
      <c r="I6" s="428"/>
      <c r="J6" s="397"/>
      <c r="K6" s="475"/>
      <c r="L6" s="432"/>
      <c r="M6" s="433"/>
      <c r="N6" s="434"/>
      <c r="O6" s="397"/>
      <c r="P6" s="141"/>
      <c r="Q6" s="316"/>
      <c r="R6" s="317"/>
      <c r="S6" s="317"/>
      <c r="T6" s="317"/>
      <c r="U6" s="317"/>
      <c r="V6" s="318"/>
    </row>
    <row r="7" spans="1:22" ht="7.5" customHeight="1" x14ac:dyDescent="0.3">
      <c r="A7" s="140"/>
      <c r="B7" s="141"/>
      <c r="C7" s="141"/>
      <c r="D7" s="141"/>
      <c r="E7" s="141"/>
      <c r="F7" s="141"/>
      <c r="G7" s="141"/>
      <c r="H7" s="141"/>
      <c r="I7" s="141"/>
      <c r="J7" s="141"/>
      <c r="K7" s="141"/>
      <c r="L7" s="141"/>
      <c r="M7" s="141"/>
      <c r="N7" s="141"/>
      <c r="O7" s="141"/>
      <c r="P7" s="142"/>
      <c r="Q7" s="316"/>
      <c r="R7" s="317"/>
      <c r="S7" s="317"/>
      <c r="T7" s="317"/>
      <c r="U7" s="317"/>
      <c r="V7" s="318"/>
    </row>
    <row r="8" spans="1:22" ht="15.75" customHeight="1" x14ac:dyDescent="0.3">
      <c r="A8" s="349" t="s">
        <v>334</v>
      </c>
      <c r="B8" s="350"/>
      <c r="C8" s="479"/>
      <c r="D8" s="480"/>
      <c r="E8" s="480"/>
      <c r="F8" s="480"/>
      <c r="G8" s="480"/>
      <c r="H8" s="481"/>
      <c r="I8" s="141"/>
      <c r="J8" s="410" t="s">
        <v>320</v>
      </c>
      <c r="K8" s="215"/>
      <c r="L8" s="478"/>
      <c r="M8" s="470"/>
      <c r="N8" s="470"/>
      <c r="O8" s="470"/>
      <c r="P8" s="471"/>
      <c r="Q8" s="316"/>
      <c r="R8" s="317"/>
      <c r="S8" s="317"/>
      <c r="T8" s="317"/>
      <c r="U8" s="317"/>
      <c r="V8" s="318"/>
    </row>
    <row r="9" spans="1:22" ht="15.75" customHeight="1" x14ac:dyDescent="0.3">
      <c r="A9" s="476" t="s">
        <v>318</v>
      </c>
      <c r="B9" s="477"/>
      <c r="C9" s="479"/>
      <c r="D9" s="480"/>
      <c r="E9" s="480"/>
      <c r="F9" s="480"/>
      <c r="G9" s="480"/>
      <c r="H9" s="481"/>
      <c r="I9" s="141"/>
      <c r="J9" s="410" t="s">
        <v>321</v>
      </c>
      <c r="K9" s="215"/>
      <c r="L9" s="466"/>
      <c r="M9" s="467"/>
      <c r="N9" s="467"/>
      <c r="O9" s="467"/>
      <c r="P9" s="468"/>
      <c r="Q9" s="316"/>
      <c r="R9" s="317"/>
      <c r="S9" s="317"/>
      <c r="T9" s="317"/>
      <c r="U9" s="317"/>
      <c r="V9" s="318"/>
    </row>
    <row r="10" spans="1:22" ht="15.75" customHeight="1" thickBot="1" x14ac:dyDescent="0.35">
      <c r="A10" s="476" t="s">
        <v>319</v>
      </c>
      <c r="B10" s="477"/>
      <c r="C10" s="479"/>
      <c r="D10" s="480"/>
      <c r="E10" s="480"/>
      <c r="F10" s="480"/>
      <c r="G10" s="480"/>
      <c r="H10" s="481"/>
      <c r="I10" s="141"/>
      <c r="J10" s="410" t="s">
        <v>322</v>
      </c>
      <c r="K10" s="215"/>
      <c r="L10" s="469"/>
      <c r="M10" s="470"/>
      <c r="N10" s="470"/>
      <c r="O10" s="470"/>
      <c r="P10" s="471"/>
      <c r="Q10" s="319"/>
      <c r="R10" s="320"/>
      <c r="S10" s="320"/>
      <c r="T10" s="320"/>
      <c r="U10" s="320"/>
      <c r="V10" s="321"/>
    </row>
    <row r="11" spans="1:22" ht="15.75" customHeight="1" thickTop="1" x14ac:dyDescent="0.3">
      <c r="A11" s="405" t="s">
        <v>117</v>
      </c>
      <c r="B11" s="406"/>
      <c r="C11" s="351"/>
      <c r="D11" s="352"/>
      <c r="E11" s="352"/>
      <c r="F11" s="352"/>
      <c r="G11" s="352"/>
      <c r="H11" s="353"/>
      <c r="I11" s="141"/>
      <c r="J11" s="407" t="s">
        <v>335</v>
      </c>
      <c r="K11" s="407"/>
      <c r="L11" s="408"/>
      <c r="M11" s="408"/>
      <c r="N11" s="408"/>
      <c r="O11" s="408"/>
      <c r="P11" s="409"/>
      <c r="Q11" s="146" t="s">
        <v>777</v>
      </c>
      <c r="R11" s="147"/>
      <c r="S11" s="147"/>
      <c r="T11" s="147"/>
      <c r="U11" s="147"/>
      <c r="V11" s="148"/>
    </row>
    <row r="12" spans="1:22" ht="8.25" customHeight="1" x14ac:dyDescent="0.3">
      <c r="A12" s="140"/>
      <c r="B12" s="141"/>
      <c r="C12" s="141"/>
      <c r="D12" s="141"/>
      <c r="E12" s="141"/>
      <c r="F12" s="141"/>
      <c r="G12" s="141"/>
      <c r="H12" s="141"/>
      <c r="I12" s="141"/>
      <c r="J12" s="141"/>
      <c r="K12" s="141"/>
      <c r="L12" s="141"/>
      <c r="M12" s="141"/>
      <c r="N12" s="141"/>
      <c r="O12" s="141"/>
      <c r="P12" s="142"/>
      <c r="Q12" s="149"/>
      <c r="R12" s="150"/>
      <c r="S12" s="150"/>
      <c r="T12" s="150"/>
      <c r="U12" s="150"/>
      <c r="V12" s="151"/>
    </row>
    <row r="13" spans="1:22" ht="32.25" customHeight="1" thickBot="1" x14ac:dyDescent="0.35">
      <c r="A13" s="92"/>
      <c r="B13" s="93"/>
      <c r="C13" s="93"/>
      <c r="D13" s="93"/>
      <c r="E13" s="340" t="s">
        <v>782</v>
      </c>
      <c r="F13" s="341"/>
      <c r="G13" s="341"/>
      <c r="H13" s="342"/>
      <c r="I13" s="346"/>
      <c r="J13" s="347"/>
      <c r="K13" s="347"/>
      <c r="L13" s="348"/>
      <c r="M13" s="93"/>
      <c r="N13" s="93"/>
      <c r="O13" s="93"/>
      <c r="P13" s="93"/>
      <c r="Q13" s="152"/>
      <c r="R13" s="153"/>
      <c r="S13" s="153"/>
      <c r="T13" s="153"/>
      <c r="U13" s="153"/>
      <c r="V13" s="154"/>
    </row>
    <row r="14" spans="1:22" ht="33" customHeight="1" thickTop="1" x14ac:dyDescent="0.3">
      <c r="A14" s="92"/>
      <c r="B14" s="93"/>
      <c r="C14" s="93"/>
      <c r="D14" s="93"/>
      <c r="E14" s="343" t="s">
        <v>331</v>
      </c>
      <c r="F14" s="344"/>
      <c r="G14" s="344"/>
      <c r="H14" s="345"/>
      <c r="I14" s="346"/>
      <c r="J14" s="347"/>
      <c r="K14" s="347"/>
      <c r="L14" s="348"/>
      <c r="M14" s="93"/>
      <c r="N14" s="93"/>
      <c r="O14" s="93"/>
      <c r="P14" s="93"/>
      <c r="Q14" s="140"/>
      <c r="R14" s="141"/>
      <c r="S14" s="141"/>
      <c r="T14" s="141"/>
      <c r="U14" s="141"/>
      <c r="V14" s="142"/>
    </row>
    <row r="15" spans="1:22" ht="7.5" customHeight="1" x14ac:dyDescent="0.3">
      <c r="A15" s="140"/>
      <c r="B15" s="141"/>
      <c r="C15" s="141"/>
      <c r="D15" s="141"/>
      <c r="E15" s="141"/>
      <c r="F15" s="141"/>
      <c r="G15" s="141"/>
      <c r="H15" s="141"/>
      <c r="I15" s="141"/>
      <c r="J15" s="141"/>
      <c r="K15" s="141"/>
      <c r="L15" s="141"/>
      <c r="M15" s="141"/>
      <c r="N15" s="141"/>
      <c r="O15" s="141"/>
      <c r="P15" s="142"/>
      <c r="Q15" s="140"/>
      <c r="R15" s="141"/>
      <c r="S15" s="141"/>
      <c r="T15" s="141"/>
      <c r="U15" s="141"/>
      <c r="V15" s="142"/>
    </row>
    <row r="16" spans="1:22" ht="31.5" customHeight="1" x14ac:dyDescent="0.3">
      <c r="A16" s="140"/>
      <c r="B16" s="216"/>
      <c r="C16" s="212" t="s">
        <v>324</v>
      </c>
      <c r="D16" s="212"/>
      <c r="E16" s="54"/>
      <c r="F16" s="328" t="s">
        <v>325</v>
      </c>
      <c r="G16" s="328"/>
      <c r="H16" s="510"/>
      <c r="I16" s="511"/>
      <c r="J16" s="512"/>
      <c r="K16" s="330" t="s">
        <v>326</v>
      </c>
      <c r="L16" s="331"/>
      <c r="M16" s="456"/>
      <c r="N16" s="457"/>
      <c r="O16" s="217"/>
      <c r="P16" s="217"/>
      <c r="Q16" s="140"/>
      <c r="R16" s="141"/>
      <c r="S16" s="141"/>
      <c r="T16" s="141"/>
      <c r="U16" s="141"/>
      <c r="V16" s="142"/>
    </row>
    <row r="17" spans="1:22" ht="31.5" customHeight="1" x14ac:dyDescent="0.3">
      <c r="A17" s="140"/>
      <c r="B17" s="216"/>
      <c r="C17" s="212" t="s">
        <v>332</v>
      </c>
      <c r="D17" s="212"/>
      <c r="E17" s="53" t="b">
        <v>0</v>
      </c>
      <c r="F17" s="328" t="s">
        <v>325</v>
      </c>
      <c r="G17" s="328"/>
      <c r="H17" s="329"/>
      <c r="I17" s="329"/>
      <c r="J17" s="329"/>
      <c r="K17" s="330" t="s">
        <v>326</v>
      </c>
      <c r="L17" s="331"/>
      <c r="M17" s="334"/>
      <c r="N17" s="334"/>
      <c r="O17" s="217"/>
      <c r="P17" s="217"/>
      <c r="Q17" s="140"/>
      <c r="R17" s="141"/>
      <c r="S17" s="141"/>
      <c r="T17" s="141"/>
      <c r="U17" s="141"/>
      <c r="V17" s="142"/>
    </row>
    <row r="18" spans="1:22" ht="31.5" customHeight="1" x14ac:dyDescent="0.3">
      <c r="A18" s="140"/>
      <c r="B18" s="216"/>
      <c r="C18" s="212" t="s">
        <v>333</v>
      </c>
      <c r="D18" s="212"/>
      <c r="E18" s="53" t="b">
        <v>0</v>
      </c>
      <c r="F18" s="328" t="s">
        <v>325</v>
      </c>
      <c r="G18" s="328"/>
      <c r="H18" s="329"/>
      <c r="I18" s="329"/>
      <c r="J18" s="329"/>
      <c r="K18" s="332" t="s">
        <v>326</v>
      </c>
      <c r="L18" s="333"/>
      <c r="M18" s="334"/>
      <c r="N18" s="334"/>
      <c r="O18" s="217"/>
      <c r="P18" s="217"/>
      <c r="Q18" s="140"/>
      <c r="R18" s="141"/>
      <c r="S18" s="141"/>
      <c r="T18" s="141"/>
      <c r="U18" s="141"/>
      <c r="V18" s="142"/>
    </row>
    <row r="19" spans="1:22" ht="9" customHeight="1" x14ac:dyDescent="0.3">
      <c r="A19" s="91"/>
      <c r="B19" s="90"/>
      <c r="C19" s="95"/>
      <c r="D19" s="95"/>
      <c r="E19" s="96"/>
      <c r="F19" s="97"/>
      <c r="G19" s="97"/>
      <c r="H19" s="96"/>
      <c r="I19" s="96"/>
      <c r="J19" s="96"/>
      <c r="K19" s="95"/>
      <c r="L19" s="95"/>
      <c r="M19" s="97"/>
      <c r="N19" s="97"/>
      <c r="O19" s="94"/>
      <c r="P19" s="94"/>
      <c r="Q19" s="140"/>
      <c r="R19" s="141"/>
      <c r="S19" s="141"/>
      <c r="T19" s="141"/>
      <c r="U19" s="141"/>
      <c r="V19" s="142"/>
    </row>
    <row r="20" spans="1:22" ht="30.75" customHeight="1" x14ac:dyDescent="0.3">
      <c r="A20" s="213" t="s">
        <v>0</v>
      </c>
      <c r="B20" s="214"/>
      <c r="C20" s="215"/>
      <c r="D20" s="43"/>
      <c r="E20" s="93"/>
      <c r="F20" s="338" t="s">
        <v>1</v>
      </c>
      <c r="G20" s="339"/>
      <c r="H20" s="335" t="str">
        <f>IF(D20="","",_xlfn.XLOOKUP(D20, 'Helper Cells'!A3:A23, 'Helper Cells'!B3:B23, "0"))</f>
        <v/>
      </c>
      <c r="I20" s="336"/>
      <c r="J20" s="336"/>
      <c r="K20" s="336"/>
      <c r="L20" s="336"/>
      <c r="M20" s="336"/>
      <c r="N20" s="336"/>
      <c r="O20" s="336"/>
      <c r="P20" s="337"/>
      <c r="Q20" s="140"/>
      <c r="R20" s="141"/>
      <c r="S20" s="141"/>
      <c r="T20" s="141"/>
      <c r="U20" s="141"/>
      <c r="V20" s="142"/>
    </row>
    <row r="21" spans="1:22" ht="30.75" customHeight="1" x14ac:dyDescent="0.3">
      <c r="A21" s="213" t="s">
        <v>2</v>
      </c>
      <c r="B21" s="214"/>
      <c r="C21" s="215"/>
      <c r="D21" s="435" t="str">
        <f>IF(D20="","",_xlfn.XLOOKUP(D20, 'Helper Cells'!A3:A23, 'Helper Cells'!C3:C23, "0"))</f>
        <v/>
      </c>
      <c r="E21" s="436"/>
      <c r="F21" s="436"/>
      <c r="G21" s="436"/>
      <c r="H21" s="436"/>
      <c r="I21" s="436"/>
      <c r="J21" s="436"/>
      <c r="K21" s="436"/>
      <c r="L21" s="436"/>
      <c r="M21" s="436"/>
      <c r="N21" s="436"/>
      <c r="O21" s="436"/>
      <c r="P21" s="437"/>
      <c r="Q21" s="140"/>
      <c r="R21" s="141"/>
      <c r="S21" s="141"/>
      <c r="T21" s="141"/>
      <c r="U21" s="141"/>
      <c r="V21" s="142"/>
    </row>
    <row r="22" spans="1:22" ht="30.75" hidden="1" customHeight="1" x14ac:dyDescent="0.3">
      <c r="A22" s="213" t="s">
        <v>118</v>
      </c>
      <c r="B22" s="214"/>
      <c r="C22" s="215"/>
      <c r="D22" s="221" t="str">
        <f>IF(D20="","",_xlfn.XLOOKUP(D20, 'Helper Cells'!A3:A23, 'Helper Cells'!D3:D23, "0"))</f>
        <v/>
      </c>
      <c r="E22" s="222"/>
      <c r="F22" s="222"/>
      <c r="G22" s="222"/>
      <c r="H22" s="222"/>
      <c r="I22" s="222"/>
      <c r="J22" s="222"/>
      <c r="K22" s="222"/>
      <c r="L22" s="222"/>
      <c r="M22" s="222"/>
      <c r="N22" s="222"/>
      <c r="O22" s="222"/>
      <c r="P22" s="223"/>
      <c r="Q22" s="140"/>
      <c r="R22" s="141"/>
      <c r="S22" s="141"/>
      <c r="T22" s="141"/>
      <c r="U22" s="141"/>
      <c r="V22" s="142"/>
    </row>
    <row r="23" spans="1:22" ht="30.75" customHeight="1" x14ac:dyDescent="0.3">
      <c r="A23" s="213" t="s">
        <v>3</v>
      </c>
      <c r="B23" s="214"/>
      <c r="C23" s="215"/>
      <c r="D23" s="218"/>
      <c r="E23" s="219"/>
      <c r="F23" s="219"/>
      <c r="G23" s="219"/>
      <c r="H23" s="219"/>
      <c r="I23" s="219"/>
      <c r="J23" s="219"/>
      <c r="K23" s="219"/>
      <c r="L23" s="219"/>
      <c r="M23" s="219"/>
      <c r="N23" s="219"/>
      <c r="O23" s="219"/>
      <c r="P23" s="220"/>
      <c r="Q23" s="140"/>
      <c r="R23" s="141"/>
      <c r="S23" s="141"/>
      <c r="T23" s="141"/>
      <c r="U23" s="141"/>
      <c r="V23" s="142"/>
    </row>
    <row r="24" spans="1:22" ht="15.75" hidden="1" customHeight="1" x14ac:dyDescent="0.3">
      <c r="A24" s="325"/>
      <c r="B24" s="326"/>
      <c r="C24" s="326"/>
      <c r="D24" s="326"/>
      <c r="E24" s="326"/>
      <c r="F24" s="326"/>
      <c r="G24" s="327"/>
      <c r="H24" s="93"/>
      <c r="I24" s="93"/>
      <c r="J24" s="93"/>
      <c r="K24" s="93"/>
      <c r="L24" s="31"/>
      <c r="M24" s="31"/>
      <c r="N24" s="31"/>
      <c r="O24" s="31"/>
      <c r="P24" s="31"/>
      <c r="Q24" s="140"/>
      <c r="R24" s="141"/>
      <c r="S24" s="141"/>
      <c r="T24" s="141"/>
      <c r="U24" s="141"/>
      <c r="V24" s="142"/>
    </row>
    <row r="25" spans="1:22" ht="15.75" hidden="1" customHeight="1" x14ac:dyDescent="0.3">
      <c r="A25" s="73">
        <v>25</v>
      </c>
      <c r="B25" s="30">
        <v>50</v>
      </c>
      <c r="C25" s="30">
        <v>100</v>
      </c>
      <c r="D25" s="30">
        <v>150</v>
      </c>
      <c r="E25" s="30">
        <v>200</v>
      </c>
      <c r="F25" s="30">
        <v>400</v>
      </c>
      <c r="G25" s="30">
        <v>800</v>
      </c>
      <c r="H25" s="93"/>
      <c r="I25" s="93"/>
      <c r="J25" s="93"/>
      <c r="K25" s="93"/>
      <c r="L25" s="31"/>
      <c r="M25" s="31"/>
      <c r="N25" s="31"/>
      <c r="O25" s="31"/>
      <c r="P25" s="31"/>
      <c r="Q25" s="140"/>
      <c r="R25" s="141"/>
      <c r="S25" s="141"/>
      <c r="T25" s="141"/>
      <c r="U25" s="141"/>
      <c r="V25" s="142"/>
    </row>
    <row r="26" spans="1:22" ht="15.75" hidden="1" customHeight="1" x14ac:dyDescent="0.3">
      <c r="A26" s="74">
        <v>7</v>
      </c>
      <c r="B26" s="32">
        <v>6</v>
      </c>
      <c r="C26" s="32">
        <v>5</v>
      </c>
      <c r="D26" s="32">
        <v>4</v>
      </c>
      <c r="E26" s="32">
        <v>3</v>
      </c>
      <c r="F26" s="32">
        <v>2</v>
      </c>
      <c r="G26" s="32">
        <v>1</v>
      </c>
      <c r="H26" s="93"/>
      <c r="I26" s="93"/>
      <c r="J26" s="93"/>
      <c r="K26" s="93"/>
      <c r="L26" s="33"/>
      <c r="M26" s="33"/>
      <c r="N26" s="33"/>
      <c r="O26" s="33"/>
      <c r="P26" s="33"/>
      <c r="Q26" s="140"/>
      <c r="R26" s="141"/>
      <c r="S26" s="141"/>
      <c r="T26" s="141"/>
      <c r="U26" s="141"/>
      <c r="V26" s="142"/>
    </row>
    <row r="27" spans="1:22" ht="15.75" hidden="1" customHeight="1" x14ac:dyDescent="0.3">
      <c r="A27" s="98"/>
      <c r="B27" s="99"/>
      <c r="C27" s="99"/>
      <c r="D27" s="99"/>
      <c r="E27" s="99"/>
      <c r="F27" s="99"/>
      <c r="G27" s="99"/>
      <c r="H27" s="100"/>
      <c r="I27" s="93"/>
      <c r="J27" s="93"/>
      <c r="K27" s="93"/>
      <c r="L27" s="101"/>
      <c r="M27" s="101"/>
      <c r="N27" s="101"/>
      <c r="O27" s="101"/>
      <c r="P27" s="101"/>
      <c r="Q27" s="140"/>
      <c r="R27" s="141"/>
      <c r="S27" s="141"/>
      <c r="T27" s="141"/>
      <c r="U27" s="141"/>
      <c r="V27" s="142"/>
    </row>
    <row r="28" spans="1:22" ht="8.25" customHeight="1" thickBot="1" x14ac:dyDescent="0.35">
      <c r="A28" s="438"/>
      <c r="B28" s="439"/>
      <c r="C28" s="439"/>
      <c r="D28" s="439"/>
      <c r="E28" s="439"/>
      <c r="F28" s="439"/>
      <c r="G28" s="439"/>
      <c r="H28" s="439"/>
      <c r="I28" s="439"/>
      <c r="J28" s="439"/>
      <c r="K28" s="439"/>
      <c r="L28" s="439"/>
      <c r="M28" s="439"/>
      <c r="N28" s="439"/>
      <c r="O28" s="439"/>
      <c r="P28" s="440"/>
      <c r="Q28" s="143"/>
      <c r="R28" s="144"/>
      <c r="S28" s="144"/>
      <c r="T28" s="144"/>
      <c r="U28" s="144"/>
      <c r="V28" s="145"/>
    </row>
    <row r="29" spans="1:22" x14ac:dyDescent="0.3">
      <c r="A29" s="441" t="s">
        <v>327</v>
      </c>
      <c r="B29" s="442"/>
      <c r="C29" s="442"/>
      <c r="D29" s="442"/>
      <c r="E29" s="442"/>
      <c r="F29" s="442"/>
      <c r="G29" s="442"/>
      <c r="H29" s="442"/>
      <c r="I29" s="442"/>
      <c r="J29" s="442"/>
      <c r="K29" s="442"/>
      <c r="L29" s="442"/>
      <c r="M29" s="442"/>
      <c r="N29" s="442"/>
      <c r="O29" s="442"/>
      <c r="P29" s="443"/>
      <c r="Q29" s="187" t="s">
        <v>350</v>
      </c>
      <c r="R29" s="188"/>
      <c r="S29" s="188"/>
      <c r="T29" s="188"/>
      <c r="U29" s="188"/>
      <c r="V29" s="189"/>
    </row>
    <row r="30" spans="1:22" ht="16.2" thickBot="1" x14ac:dyDescent="0.35">
      <c r="A30" s="444"/>
      <c r="B30" s="445"/>
      <c r="C30" s="445"/>
      <c r="D30" s="445"/>
      <c r="E30" s="445"/>
      <c r="F30" s="445"/>
      <c r="G30" s="445"/>
      <c r="H30" s="445"/>
      <c r="I30" s="445"/>
      <c r="J30" s="445"/>
      <c r="K30" s="445"/>
      <c r="L30" s="445"/>
      <c r="M30" s="445"/>
      <c r="N30" s="445"/>
      <c r="O30" s="445"/>
      <c r="P30" s="446"/>
      <c r="Q30" s="190"/>
      <c r="R30" s="191"/>
      <c r="S30" s="191"/>
      <c r="T30" s="191"/>
      <c r="U30" s="191"/>
      <c r="V30" s="192"/>
    </row>
    <row r="31" spans="1:22" ht="16.5" customHeight="1" x14ac:dyDescent="0.3">
      <c r="A31" s="447"/>
      <c r="B31" s="448"/>
      <c r="C31" s="448"/>
      <c r="D31" s="448"/>
      <c r="E31" s="448"/>
      <c r="F31" s="448"/>
      <c r="G31" s="448"/>
      <c r="H31" s="448"/>
      <c r="I31" s="448"/>
      <c r="J31" s="448"/>
      <c r="K31" s="448"/>
      <c r="L31" s="448"/>
      <c r="M31" s="448"/>
      <c r="N31" s="448"/>
      <c r="O31" s="448"/>
      <c r="P31" s="449"/>
      <c r="Q31" s="322" t="s">
        <v>343</v>
      </c>
      <c r="R31" s="323"/>
      <c r="S31" s="323"/>
      <c r="T31" s="323"/>
      <c r="U31" s="323"/>
      <c r="V31" s="324"/>
    </row>
    <row r="32" spans="1:22" ht="16.5" customHeight="1" x14ac:dyDescent="0.3">
      <c r="A32" s="450"/>
      <c r="B32" s="451"/>
      <c r="C32" s="451"/>
      <c r="D32" s="451"/>
      <c r="E32" s="451"/>
      <c r="F32" s="451"/>
      <c r="G32" s="451"/>
      <c r="H32" s="451"/>
      <c r="I32" s="451"/>
      <c r="J32" s="451"/>
      <c r="K32" s="451"/>
      <c r="L32" s="451"/>
      <c r="M32" s="451"/>
      <c r="N32" s="451"/>
      <c r="O32" s="451"/>
      <c r="P32" s="452"/>
      <c r="Q32" s="180" t="s">
        <v>344</v>
      </c>
      <c r="R32" s="181"/>
      <c r="S32" s="181"/>
      <c r="T32" s="181"/>
      <c r="U32" s="181"/>
      <c r="V32" s="182"/>
    </row>
    <row r="33" spans="1:22" ht="16.5" customHeight="1" x14ac:dyDescent="0.3">
      <c r="A33" s="450"/>
      <c r="B33" s="451"/>
      <c r="C33" s="451"/>
      <c r="D33" s="451"/>
      <c r="E33" s="451"/>
      <c r="F33" s="451"/>
      <c r="G33" s="451"/>
      <c r="H33" s="451"/>
      <c r="I33" s="451"/>
      <c r="J33" s="451"/>
      <c r="K33" s="451"/>
      <c r="L33" s="451"/>
      <c r="M33" s="451"/>
      <c r="N33" s="451"/>
      <c r="O33" s="451"/>
      <c r="P33" s="452"/>
      <c r="Q33" s="180" t="s">
        <v>345</v>
      </c>
      <c r="R33" s="181"/>
      <c r="S33" s="181"/>
      <c r="T33" s="181"/>
      <c r="U33" s="181"/>
      <c r="V33" s="182"/>
    </row>
    <row r="34" spans="1:22" ht="15.6" customHeight="1" x14ac:dyDescent="0.3">
      <c r="A34" s="450"/>
      <c r="B34" s="451"/>
      <c r="C34" s="451"/>
      <c r="D34" s="451"/>
      <c r="E34" s="451"/>
      <c r="F34" s="451"/>
      <c r="G34" s="451"/>
      <c r="H34" s="451"/>
      <c r="I34" s="451"/>
      <c r="J34" s="451"/>
      <c r="K34" s="451"/>
      <c r="L34" s="451"/>
      <c r="M34" s="451"/>
      <c r="N34" s="451"/>
      <c r="O34" s="451"/>
      <c r="P34" s="452"/>
      <c r="Q34" s="180" t="s">
        <v>346</v>
      </c>
      <c r="R34" s="181"/>
      <c r="S34" s="181"/>
      <c r="T34" s="181"/>
      <c r="U34" s="181"/>
      <c r="V34" s="182"/>
    </row>
    <row r="35" spans="1:22" ht="15.6" customHeight="1" x14ac:dyDescent="0.3">
      <c r="A35" s="450"/>
      <c r="B35" s="451"/>
      <c r="C35" s="451"/>
      <c r="D35" s="451"/>
      <c r="E35" s="451"/>
      <c r="F35" s="451"/>
      <c r="G35" s="451"/>
      <c r="H35" s="451"/>
      <c r="I35" s="451"/>
      <c r="J35" s="451"/>
      <c r="K35" s="451"/>
      <c r="L35" s="451"/>
      <c r="M35" s="451"/>
      <c r="N35" s="451"/>
      <c r="O35" s="451"/>
      <c r="P35" s="452"/>
      <c r="Q35" s="180" t="s">
        <v>347</v>
      </c>
      <c r="R35" s="181"/>
      <c r="S35" s="181"/>
      <c r="T35" s="181"/>
      <c r="U35" s="181"/>
      <c r="V35" s="182"/>
    </row>
    <row r="36" spans="1:22" ht="15.6" customHeight="1" x14ac:dyDescent="0.3">
      <c r="A36" s="450"/>
      <c r="B36" s="451"/>
      <c r="C36" s="451"/>
      <c r="D36" s="451"/>
      <c r="E36" s="451"/>
      <c r="F36" s="451"/>
      <c r="G36" s="451"/>
      <c r="H36" s="451"/>
      <c r="I36" s="451"/>
      <c r="J36" s="451"/>
      <c r="K36" s="451"/>
      <c r="L36" s="451"/>
      <c r="M36" s="451"/>
      <c r="N36" s="451"/>
      <c r="O36" s="451"/>
      <c r="P36" s="452"/>
      <c r="Q36" s="180" t="s">
        <v>348</v>
      </c>
      <c r="R36" s="181"/>
      <c r="S36" s="181"/>
      <c r="T36" s="181"/>
      <c r="U36" s="181"/>
      <c r="V36" s="182"/>
    </row>
    <row r="37" spans="1:22" ht="16.2" customHeight="1" thickBot="1" x14ac:dyDescent="0.35">
      <c r="A37" s="450"/>
      <c r="B37" s="451"/>
      <c r="C37" s="451"/>
      <c r="D37" s="451"/>
      <c r="E37" s="451"/>
      <c r="F37" s="451"/>
      <c r="G37" s="451"/>
      <c r="H37" s="451"/>
      <c r="I37" s="451"/>
      <c r="J37" s="451"/>
      <c r="K37" s="451"/>
      <c r="L37" s="451"/>
      <c r="M37" s="451"/>
      <c r="N37" s="451"/>
      <c r="O37" s="451"/>
      <c r="P37" s="452"/>
      <c r="Q37" s="183" t="s">
        <v>349</v>
      </c>
      <c r="R37" s="184"/>
      <c r="S37" s="184"/>
      <c r="T37" s="184"/>
      <c r="U37" s="184"/>
      <c r="V37" s="185"/>
    </row>
    <row r="38" spans="1:22" ht="15.6" customHeight="1" x14ac:dyDescent="0.3">
      <c r="A38" s="450"/>
      <c r="B38" s="451"/>
      <c r="C38" s="451"/>
      <c r="D38" s="451"/>
      <c r="E38" s="451"/>
      <c r="F38" s="451"/>
      <c r="G38" s="451"/>
      <c r="H38" s="451"/>
      <c r="I38" s="451"/>
      <c r="J38" s="451"/>
      <c r="K38" s="451"/>
      <c r="L38" s="451"/>
      <c r="M38" s="451"/>
      <c r="N38" s="451"/>
      <c r="O38" s="451"/>
      <c r="P38" s="452"/>
      <c r="Q38" s="102"/>
      <c r="R38" s="103"/>
      <c r="S38" s="103"/>
      <c r="T38" s="103"/>
      <c r="U38" s="103"/>
      <c r="V38" s="104"/>
    </row>
    <row r="39" spans="1:22" ht="15.6" customHeight="1" x14ac:dyDescent="0.3">
      <c r="A39" s="450"/>
      <c r="B39" s="451"/>
      <c r="C39" s="451"/>
      <c r="D39" s="451"/>
      <c r="E39" s="451"/>
      <c r="F39" s="451"/>
      <c r="G39" s="451"/>
      <c r="H39" s="451"/>
      <c r="I39" s="451"/>
      <c r="J39" s="451"/>
      <c r="K39" s="451"/>
      <c r="L39" s="451"/>
      <c r="M39" s="451"/>
      <c r="N39" s="451"/>
      <c r="O39" s="451"/>
      <c r="P39" s="452"/>
      <c r="Q39" s="92"/>
      <c r="R39" s="93"/>
      <c r="S39" s="93"/>
      <c r="T39" s="93"/>
      <c r="U39" s="93"/>
      <c r="V39" s="105"/>
    </row>
    <row r="40" spans="1:22" ht="15.6" customHeight="1" x14ac:dyDescent="0.3">
      <c r="A40" s="450"/>
      <c r="B40" s="451"/>
      <c r="C40" s="451"/>
      <c r="D40" s="451"/>
      <c r="E40" s="451"/>
      <c r="F40" s="451"/>
      <c r="G40" s="451"/>
      <c r="H40" s="451"/>
      <c r="I40" s="451"/>
      <c r="J40" s="451"/>
      <c r="K40" s="451"/>
      <c r="L40" s="451"/>
      <c r="M40" s="451"/>
      <c r="N40" s="451"/>
      <c r="O40" s="451"/>
      <c r="P40" s="452"/>
      <c r="Q40" s="92"/>
      <c r="R40" s="93"/>
      <c r="S40" s="93"/>
      <c r="T40" s="93"/>
      <c r="U40" s="93"/>
      <c r="V40" s="105"/>
    </row>
    <row r="41" spans="1:22" ht="15.6" customHeight="1" x14ac:dyDescent="0.3">
      <c r="A41" s="450"/>
      <c r="B41" s="451"/>
      <c r="C41" s="451"/>
      <c r="D41" s="451"/>
      <c r="E41" s="451"/>
      <c r="F41" s="451"/>
      <c r="G41" s="451"/>
      <c r="H41" s="451"/>
      <c r="I41" s="451"/>
      <c r="J41" s="451"/>
      <c r="K41" s="451"/>
      <c r="L41" s="451"/>
      <c r="M41" s="451"/>
      <c r="N41" s="451"/>
      <c r="O41" s="451"/>
      <c r="P41" s="452"/>
      <c r="Q41" s="92"/>
      <c r="R41" s="93"/>
      <c r="S41" s="93"/>
      <c r="T41" s="93"/>
      <c r="U41" s="93"/>
      <c r="V41" s="105"/>
    </row>
    <row r="42" spans="1:22" ht="15.6" customHeight="1" x14ac:dyDescent="0.3">
      <c r="A42" s="450"/>
      <c r="B42" s="451"/>
      <c r="C42" s="451"/>
      <c r="D42" s="451"/>
      <c r="E42" s="451"/>
      <c r="F42" s="451"/>
      <c r="G42" s="451"/>
      <c r="H42" s="451"/>
      <c r="I42" s="451"/>
      <c r="J42" s="451"/>
      <c r="K42" s="451"/>
      <c r="L42" s="451"/>
      <c r="M42" s="451"/>
      <c r="N42" s="451"/>
      <c r="O42" s="451"/>
      <c r="P42" s="452"/>
      <c r="Q42" s="92"/>
      <c r="R42" s="93"/>
      <c r="S42" s="93"/>
      <c r="T42" s="93"/>
      <c r="U42" s="93"/>
      <c r="V42" s="105"/>
    </row>
    <row r="43" spans="1:22" ht="15.6" customHeight="1" x14ac:dyDescent="0.3">
      <c r="A43" s="450"/>
      <c r="B43" s="451"/>
      <c r="C43" s="451"/>
      <c r="D43" s="451"/>
      <c r="E43" s="451"/>
      <c r="F43" s="451"/>
      <c r="G43" s="451"/>
      <c r="H43" s="451"/>
      <c r="I43" s="451"/>
      <c r="J43" s="451"/>
      <c r="K43" s="451"/>
      <c r="L43" s="451"/>
      <c r="M43" s="451"/>
      <c r="N43" s="451"/>
      <c r="O43" s="451"/>
      <c r="P43" s="452"/>
      <c r="Q43" s="92"/>
      <c r="R43" s="93"/>
      <c r="S43" s="93"/>
      <c r="T43" s="93"/>
      <c r="U43" s="93"/>
      <c r="V43" s="105"/>
    </row>
    <row r="44" spans="1:22" ht="15.6" customHeight="1" x14ac:dyDescent="0.3">
      <c r="A44" s="450"/>
      <c r="B44" s="451"/>
      <c r="C44" s="451"/>
      <c r="D44" s="451"/>
      <c r="E44" s="451"/>
      <c r="F44" s="451"/>
      <c r="G44" s="451"/>
      <c r="H44" s="451"/>
      <c r="I44" s="451"/>
      <c r="J44" s="451"/>
      <c r="K44" s="451"/>
      <c r="L44" s="451"/>
      <c r="M44" s="451"/>
      <c r="N44" s="451"/>
      <c r="O44" s="451"/>
      <c r="P44" s="452"/>
      <c r="Q44" s="92"/>
      <c r="R44" s="93"/>
      <c r="S44" s="93"/>
      <c r="T44" s="93"/>
      <c r="U44" s="93"/>
      <c r="V44" s="105"/>
    </row>
    <row r="45" spans="1:22" ht="15" customHeight="1" x14ac:dyDescent="0.3">
      <c r="A45" s="453"/>
      <c r="B45" s="454"/>
      <c r="C45" s="454"/>
      <c r="D45" s="454"/>
      <c r="E45" s="454"/>
      <c r="F45" s="454"/>
      <c r="G45" s="454"/>
      <c r="H45" s="454"/>
      <c r="I45" s="454"/>
      <c r="J45" s="454"/>
      <c r="K45" s="454"/>
      <c r="L45" s="454"/>
      <c r="M45" s="454"/>
      <c r="N45" s="454"/>
      <c r="O45" s="454"/>
      <c r="P45" s="455"/>
      <c r="Q45" s="92"/>
      <c r="R45" s="93"/>
      <c r="S45" s="93"/>
      <c r="T45" s="93"/>
      <c r="U45" s="93"/>
      <c r="V45" s="105"/>
    </row>
    <row r="46" spans="1:22" ht="11.25" customHeight="1" x14ac:dyDescent="0.3">
      <c r="A46" s="503"/>
      <c r="B46" s="504"/>
      <c r="C46" s="504"/>
      <c r="D46" s="504"/>
      <c r="E46" s="504"/>
      <c r="F46" s="504"/>
      <c r="G46" s="504"/>
      <c r="H46" s="504"/>
      <c r="I46" s="504"/>
      <c r="J46" s="504"/>
      <c r="K46" s="504"/>
      <c r="L46" s="504"/>
      <c r="M46" s="504"/>
      <c r="N46" s="504"/>
      <c r="O46" s="504"/>
      <c r="P46" s="505"/>
      <c r="Q46" s="92"/>
      <c r="R46" s="93"/>
      <c r="S46" s="93"/>
      <c r="T46" s="93"/>
      <c r="U46" s="93"/>
      <c r="V46" s="105"/>
    </row>
    <row r="47" spans="1:22" ht="23.4" x14ac:dyDescent="0.3">
      <c r="A47" s="193" t="s">
        <v>691</v>
      </c>
      <c r="B47" s="194"/>
      <c r="C47" s="194"/>
      <c r="D47" s="194"/>
      <c r="E47" s="194"/>
      <c r="F47" s="194"/>
      <c r="G47" s="194"/>
      <c r="H47" s="194"/>
      <c r="I47" s="195"/>
      <c r="J47" s="500" t="s">
        <v>779</v>
      </c>
      <c r="K47" s="501"/>
      <c r="L47" s="501"/>
      <c r="M47" s="501"/>
      <c r="N47" s="502"/>
      <c r="O47" s="197" t="str">
        <f>J47</f>
        <v>Baseline Indicator</v>
      </c>
      <c r="P47" s="198"/>
      <c r="Q47" s="92"/>
      <c r="R47" s="93"/>
      <c r="S47" s="93"/>
      <c r="T47" s="93"/>
      <c r="U47" s="93"/>
      <c r="V47" s="105"/>
    </row>
    <row r="48" spans="1:22" ht="30.6" customHeight="1" x14ac:dyDescent="0.3">
      <c r="A48" s="170" t="s">
        <v>341</v>
      </c>
      <c r="B48" s="171"/>
      <c r="C48" s="171"/>
      <c r="D48" s="171"/>
      <c r="E48" s="171"/>
      <c r="F48" s="171"/>
      <c r="G48" s="171"/>
      <c r="H48" s="171"/>
      <c r="I48" s="171"/>
      <c r="J48" s="171"/>
      <c r="K48" s="171"/>
      <c r="L48" s="171"/>
      <c r="M48" s="171"/>
      <c r="N48" s="171"/>
      <c r="O48" s="171"/>
      <c r="P48" s="172"/>
      <c r="Q48" s="92"/>
      <c r="R48" s="93"/>
      <c r="S48" s="93"/>
      <c r="T48" s="93"/>
      <c r="U48" s="93"/>
      <c r="V48" s="105"/>
    </row>
    <row r="49" spans="1:22" ht="6" hidden="1" customHeight="1" x14ac:dyDescent="0.3">
      <c r="A49" s="175"/>
      <c r="B49" s="176"/>
      <c r="C49" s="176"/>
      <c r="D49" s="176"/>
      <c r="E49" s="176"/>
      <c r="F49" s="176"/>
      <c r="G49" s="176"/>
      <c r="H49" s="176"/>
      <c r="I49" s="176"/>
      <c r="J49" s="176"/>
      <c r="K49" s="176"/>
      <c r="L49" s="176"/>
      <c r="M49" s="176"/>
      <c r="N49" s="176"/>
      <c r="O49" s="176"/>
      <c r="P49" s="177"/>
      <c r="Q49" s="92"/>
      <c r="R49" s="93"/>
      <c r="S49" s="93"/>
      <c r="T49" s="93"/>
      <c r="U49" s="93"/>
      <c r="V49" s="105"/>
    </row>
    <row r="50" spans="1:22" ht="1.95" customHeight="1" x14ac:dyDescent="0.3">
      <c r="A50" s="106" t="str" cm="1">
        <f t="array" ref="A50">IFERROR(IF(INDEX('Helper Cells'!AL:BU,MATCH($D$20,'Helper Cells'!AK:AK,0),ROW(A1))=0,"",INDEX('Helper Cells'!AL:BU,MATCH($D$20,'Helper Cells'!AK:AK,0),ROW(A1))),"")</f>
        <v/>
      </c>
      <c r="B50" s="161" t="str">
        <f>IF(A50="","",IF($J$47="Guidance Note",INDEX('Guidance Notes'!B:B,MATCH(A50,'Guidance Notes'!A:A,0)),INDEX('Baseline Indicators'!B:B,MATCH(A50,'Baseline Indicators'!A:A,0))))</f>
        <v/>
      </c>
      <c r="C50" s="161"/>
      <c r="D50" s="161"/>
      <c r="E50" s="161"/>
      <c r="F50" s="161"/>
      <c r="G50" s="161"/>
      <c r="H50" s="161"/>
      <c r="I50" s="161"/>
      <c r="J50" s="161"/>
      <c r="K50" s="161"/>
      <c r="L50" s="161"/>
      <c r="M50" s="161"/>
      <c r="N50" s="161"/>
      <c r="O50" s="506"/>
      <c r="P50" s="507"/>
      <c r="Q50" s="565" t="s">
        <v>700</v>
      </c>
      <c r="R50" s="565"/>
      <c r="S50" s="565"/>
      <c r="T50" s="565"/>
      <c r="U50" s="565"/>
      <c r="V50" s="566"/>
    </row>
    <row r="51" spans="1:22" ht="1.95" customHeight="1" x14ac:dyDescent="0.3">
      <c r="A51" s="107" t="str" cm="1">
        <f t="array" ref="A51">IFERROR(IF(INDEX('Helper Cells'!AL:BU,MATCH($D$20,'Helper Cells'!AK:AK,0),ROW(A2))=0,"",INDEX('Helper Cells'!AL:BU,MATCH($D$20,'Helper Cells'!AK:AK,0),ROW(A2))),"")</f>
        <v/>
      </c>
      <c r="B51" s="161" t="str">
        <f>IF(A51="","",IF($J$47="Guidance Note",INDEX('Guidance Notes'!B:B,MATCH(A51,'Guidance Notes'!A:A,0)),INDEX('Baseline Indicators'!B:B,MATCH(A51,'Baseline Indicators'!A:A,0))))</f>
        <v/>
      </c>
      <c r="C51" s="161"/>
      <c r="D51" s="161"/>
      <c r="E51" s="161"/>
      <c r="F51" s="161"/>
      <c r="G51" s="161"/>
      <c r="H51" s="161"/>
      <c r="I51" s="161"/>
      <c r="J51" s="161"/>
      <c r="K51" s="161"/>
      <c r="L51" s="161"/>
      <c r="M51" s="161"/>
      <c r="N51" s="161"/>
      <c r="O51" s="508"/>
      <c r="P51" s="509"/>
      <c r="Q51" s="565"/>
      <c r="R51" s="565"/>
      <c r="S51" s="565"/>
      <c r="T51" s="565"/>
      <c r="U51" s="565"/>
      <c r="V51" s="566"/>
    </row>
    <row r="52" spans="1:22" ht="1.95" customHeight="1" x14ac:dyDescent="0.3">
      <c r="A52" s="107" t="str" cm="1">
        <f t="array" ref="A52">IFERROR(IF(INDEX('Helper Cells'!AL:BU,MATCH($D$20,'Helper Cells'!AK:AK,0),ROW(A3))=0,"",INDEX('Helper Cells'!AL:BU,MATCH($D$20,'Helper Cells'!AK:AK,0),ROW(A3))),"")</f>
        <v/>
      </c>
      <c r="B52" s="161" t="str">
        <f>IF(A52="","",IF($J$47="Guidance Note",INDEX('Guidance Notes'!B:B,MATCH(A52,'Guidance Notes'!A:A,0)),INDEX('Baseline Indicators'!B:B,MATCH(A52,'Baseline Indicators'!A:A,0))))</f>
        <v/>
      </c>
      <c r="C52" s="161"/>
      <c r="D52" s="161"/>
      <c r="E52" s="161"/>
      <c r="F52" s="161"/>
      <c r="G52" s="161"/>
      <c r="H52" s="161"/>
      <c r="I52" s="161"/>
      <c r="J52" s="161"/>
      <c r="K52" s="161"/>
      <c r="L52" s="161"/>
      <c r="M52" s="161"/>
      <c r="N52" s="161"/>
      <c r="O52" s="508"/>
      <c r="P52" s="509"/>
      <c r="Q52" s="565"/>
      <c r="R52" s="565"/>
      <c r="S52" s="565"/>
      <c r="T52" s="565"/>
      <c r="U52" s="565"/>
      <c r="V52" s="566"/>
    </row>
    <row r="53" spans="1:22" ht="1.95" customHeight="1" x14ac:dyDescent="0.3">
      <c r="A53" s="107" t="str" cm="1">
        <f t="array" ref="A53">IFERROR(IF(INDEX('Helper Cells'!AL:BU,MATCH($D$20,'Helper Cells'!AK:AK,0),ROW(A4))=0,"",INDEX('Helper Cells'!AL:BU,MATCH($D$20,'Helper Cells'!AK:AK,0),ROW(A4))),"")</f>
        <v/>
      </c>
      <c r="B53" s="161" t="str">
        <f>IF(A53="","",IF($J$47="Guidance Note",INDEX('Guidance Notes'!B:B,MATCH(A53,'Guidance Notes'!A:A,0)),INDEX('Baseline Indicators'!B:B,MATCH(A53,'Baseline Indicators'!A:A,0))))</f>
        <v/>
      </c>
      <c r="C53" s="161"/>
      <c r="D53" s="161"/>
      <c r="E53" s="161"/>
      <c r="F53" s="161"/>
      <c r="G53" s="161"/>
      <c r="H53" s="161"/>
      <c r="I53" s="161"/>
      <c r="J53" s="161"/>
      <c r="K53" s="161"/>
      <c r="L53" s="161"/>
      <c r="M53" s="161"/>
      <c r="N53" s="161"/>
      <c r="O53" s="508"/>
      <c r="P53" s="509"/>
      <c r="Q53" s="565"/>
      <c r="R53" s="565"/>
      <c r="S53" s="565"/>
      <c r="T53" s="565"/>
      <c r="U53" s="565"/>
      <c r="V53" s="566"/>
    </row>
    <row r="54" spans="1:22" ht="1.95" customHeight="1" x14ac:dyDescent="0.3">
      <c r="A54" s="107" t="str" cm="1">
        <f t="array" ref="A54">IFERROR(IF(INDEX('Helper Cells'!AL:BU,MATCH($D$20,'Helper Cells'!AK:AK,0),ROW(A5))=0,"",INDEX('Helper Cells'!AL:BU,MATCH($D$20,'Helper Cells'!AK:AK,0),ROW(A5))),"")</f>
        <v/>
      </c>
      <c r="B54" s="161" t="str">
        <f>IF(A54="","",IF($J$47="Guidance Note",INDEX('Guidance Notes'!B:B,MATCH(A54,'Guidance Notes'!A:A,0)),INDEX('Baseline Indicators'!B:B,MATCH(A54,'Baseline Indicators'!A:A,0))))</f>
        <v/>
      </c>
      <c r="C54" s="161"/>
      <c r="D54" s="161"/>
      <c r="E54" s="161"/>
      <c r="F54" s="161"/>
      <c r="G54" s="161"/>
      <c r="H54" s="161"/>
      <c r="I54" s="161"/>
      <c r="J54" s="161"/>
      <c r="K54" s="161"/>
      <c r="L54" s="161"/>
      <c r="M54" s="161"/>
      <c r="N54" s="161"/>
      <c r="O54" s="508"/>
      <c r="P54" s="509"/>
      <c r="Q54" s="565"/>
      <c r="R54" s="565"/>
      <c r="S54" s="565"/>
      <c r="T54" s="565"/>
      <c r="U54" s="565"/>
      <c r="V54" s="566"/>
    </row>
    <row r="55" spans="1:22" ht="1.95" customHeight="1" x14ac:dyDescent="0.3">
      <c r="A55" s="107" t="str" cm="1">
        <f t="array" ref="A55">IFERROR(IF(INDEX('Helper Cells'!AL:BU,MATCH($D$20,'Helper Cells'!AK:AK,0),ROW(A6))=0,"",INDEX('Helper Cells'!AL:BU,MATCH($D$20,'Helper Cells'!AK:AK,0),ROW(A6))),"")</f>
        <v/>
      </c>
      <c r="B55" s="161" t="str">
        <f>IF(A55="","",IF($J$47="Guidance Note",INDEX('Guidance Notes'!B:B,MATCH(A55,'Guidance Notes'!A:A,0)),INDEX('Baseline Indicators'!B:B,MATCH(A55,'Baseline Indicators'!A:A,0))))</f>
        <v/>
      </c>
      <c r="C55" s="161"/>
      <c r="D55" s="161"/>
      <c r="E55" s="161"/>
      <c r="F55" s="161"/>
      <c r="G55" s="161"/>
      <c r="H55" s="161"/>
      <c r="I55" s="161"/>
      <c r="J55" s="161"/>
      <c r="K55" s="161"/>
      <c r="L55" s="161"/>
      <c r="M55" s="161"/>
      <c r="N55" s="161"/>
      <c r="O55" s="178"/>
      <c r="P55" s="179"/>
      <c r="Q55" s="92"/>
      <c r="R55" s="93"/>
      <c r="S55" s="93"/>
      <c r="T55" s="93"/>
      <c r="U55" s="93"/>
      <c r="V55" s="105"/>
    </row>
    <row r="56" spans="1:22" ht="1.95" customHeight="1" x14ac:dyDescent="0.3">
      <c r="A56" s="107" t="str" cm="1">
        <f t="array" ref="A56">IFERROR(IF(INDEX('Helper Cells'!AL:BU,MATCH($D$20,'Helper Cells'!AK:AK,0),ROW(A7))=0,"",INDEX('Helper Cells'!AL:BU,MATCH($D$20,'Helper Cells'!AK:AK,0),ROW(A7))),"")</f>
        <v/>
      </c>
      <c r="B56" s="161" t="str">
        <f>IF(A56="","",IF($J$47="Guidance Note",INDEX('Guidance Notes'!B:B,MATCH(A56,'Guidance Notes'!A:A,0)),INDEX('Baseline Indicators'!B:B,MATCH(A56,'Baseline Indicators'!A:A,0))))</f>
        <v/>
      </c>
      <c r="C56" s="161"/>
      <c r="D56" s="161"/>
      <c r="E56" s="161"/>
      <c r="F56" s="161"/>
      <c r="G56" s="161"/>
      <c r="H56" s="161"/>
      <c r="I56" s="161"/>
      <c r="J56" s="161"/>
      <c r="K56" s="161"/>
      <c r="L56" s="161"/>
      <c r="M56" s="161"/>
      <c r="N56" s="161"/>
      <c r="O56" s="178"/>
      <c r="P56" s="179"/>
      <c r="Q56" s="92"/>
      <c r="R56" s="93"/>
      <c r="S56" s="93"/>
      <c r="T56" s="93"/>
      <c r="U56" s="93"/>
      <c r="V56" s="105"/>
    </row>
    <row r="57" spans="1:22" ht="1.95" customHeight="1" x14ac:dyDescent="0.3">
      <c r="A57" s="107" t="str" cm="1">
        <f t="array" ref="A57">IFERROR(IF(INDEX('Helper Cells'!AL:BU,MATCH($D$20,'Helper Cells'!AK:AK,0),ROW(A8))=0,"",INDEX('Helper Cells'!AL:BU,MATCH($D$20,'Helper Cells'!AK:AK,0),ROW(A8))),"")</f>
        <v/>
      </c>
      <c r="B57" s="161" t="str">
        <f>IF(A57="","",IF($J$47="Guidance Note",INDEX('Guidance Notes'!B:B,MATCH(A57,'Guidance Notes'!A:A,0)),INDEX('Baseline Indicators'!B:B,MATCH(A57,'Baseline Indicators'!A:A,0))))</f>
        <v/>
      </c>
      <c r="C57" s="161"/>
      <c r="D57" s="161"/>
      <c r="E57" s="161"/>
      <c r="F57" s="161"/>
      <c r="G57" s="161"/>
      <c r="H57" s="161"/>
      <c r="I57" s="161"/>
      <c r="J57" s="161"/>
      <c r="K57" s="161"/>
      <c r="L57" s="161"/>
      <c r="M57" s="161"/>
      <c r="N57" s="161"/>
      <c r="O57" s="178"/>
      <c r="P57" s="179"/>
      <c r="Q57" s="92"/>
      <c r="R57" s="93"/>
      <c r="S57" s="93"/>
      <c r="T57" s="93"/>
      <c r="U57" s="93"/>
      <c r="V57" s="105"/>
    </row>
    <row r="58" spans="1:22" ht="1.95" customHeight="1" x14ac:dyDescent="0.3">
      <c r="A58" s="107" t="str" cm="1">
        <f t="array" ref="A58">IFERROR(IF(INDEX('Helper Cells'!AL:BU,MATCH($D$20,'Helper Cells'!AK:AK,0),ROW(A9))=0,"",INDEX('Helper Cells'!AL:BU,MATCH($D$20,'Helper Cells'!AK:AK,0),ROW(A9))),"")</f>
        <v/>
      </c>
      <c r="B58" s="161" t="str">
        <f>IF(A58="","",IF($J$47="Guidance Note",INDEX('Guidance Notes'!B:B,MATCH(A58,'Guidance Notes'!A:A,0)),INDEX('Baseline Indicators'!B:B,MATCH(A58,'Baseline Indicators'!A:A,0))))</f>
        <v/>
      </c>
      <c r="C58" s="161"/>
      <c r="D58" s="161"/>
      <c r="E58" s="161"/>
      <c r="F58" s="161"/>
      <c r="G58" s="161"/>
      <c r="H58" s="161"/>
      <c r="I58" s="161"/>
      <c r="J58" s="161"/>
      <c r="K58" s="161"/>
      <c r="L58" s="161"/>
      <c r="M58" s="161"/>
      <c r="N58" s="161"/>
      <c r="O58" s="178"/>
      <c r="P58" s="179"/>
      <c r="Q58" s="92"/>
      <c r="R58" s="93"/>
      <c r="S58" s="93"/>
      <c r="T58" s="93"/>
      <c r="U58" s="93"/>
      <c r="V58" s="105"/>
    </row>
    <row r="59" spans="1:22" ht="1.95" customHeight="1" x14ac:dyDescent="0.3">
      <c r="A59" s="107" t="str" cm="1">
        <f t="array" ref="A59">IFERROR(IF(INDEX('Helper Cells'!AL:BU,MATCH($D$20,'Helper Cells'!AK:AK,0),ROW(A10))=0,"",INDEX('Helper Cells'!AL:BU,MATCH($D$20,'Helper Cells'!AK:AK,0),ROW(A10))),"")</f>
        <v/>
      </c>
      <c r="B59" s="161" t="str">
        <f>IF(A59="","",IF($J$47="Guidance Note",INDEX('Guidance Notes'!B:B,MATCH(A59,'Guidance Notes'!A:A,0)),INDEX('Baseline Indicators'!B:B,MATCH(A59,'Baseline Indicators'!A:A,0))))</f>
        <v/>
      </c>
      <c r="C59" s="161"/>
      <c r="D59" s="161"/>
      <c r="E59" s="161"/>
      <c r="F59" s="161"/>
      <c r="G59" s="161"/>
      <c r="H59" s="161"/>
      <c r="I59" s="161"/>
      <c r="J59" s="161"/>
      <c r="K59" s="161"/>
      <c r="L59" s="161"/>
      <c r="M59" s="161"/>
      <c r="N59" s="161"/>
      <c r="O59" s="178"/>
      <c r="P59" s="179"/>
      <c r="Q59" s="92"/>
      <c r="R59" s="93"/>
      <c r="S59" s="93"/>
      <c r="T59" s="93"/>
      <c r="U59" s="93"/>
      <c r="V59" s="105"/>
    </row>
    <row r="60" spans="1:22" ht="1.95" customHeight="1" x14ac:dyDescent="0.3">
      <c r="A60" s="107" t="str" cm="1">
        <f t="array" ref="A60">IFERROR(IF(INDEX('Helper Cells'!AL:BU,MATCH($D$20,'Helper Cells'!AK:AK,0),ROW(A11))=0,"",INDEX('Helper Cells'!AL:BU,MATCH($D$20,'Helper Cells'!AK:AK,0),ROW(A11))),"")</f>
        <v/>
      </c>
      <c r="B60" s="161" t="str">
        <f>IF(A60="","",IF($J$47="Guidance Note",INDEX('Guidance Notes'!B:B,MATCH(A60,'Guidance Notes'!A:A,0)),INDEX('Baseline Indicators'!B:B,MATCH(A60,'Baseline Indicators'!A:A,0))))</f>
        <v/>
      </c>
      <c r="C60" s="161"/>
      <c r="D60" s="161"/>
      <c r="E60" s="161"/>
      <c r="F60" s="161"/>
      <c r="G60" s="161"/>
      <c r="H60" s="161"/>
      <c r="I60" s="161"/>
      <c r="J60" s="161"/>
      <c r="K60" s="161"/>
      <c r="L60" s="161"/>
      <c r="M60" s="161"/>
      <c r="N60" s="161"/>
      <c r="O60" s="178"/>
      <c r="P60" s="179"/>
      <c r="Q60" s="92"/>
      <c r="R60" s="93"/>
      <c r="S60" s="93"/>
      <c r="T60" s="93"/>
      <c r="U60" s="93"/>
      <c r="V60" s="105"/>
    </row>
    <row r="61" spans="1:22" ht="1.95" customHeight="1" x14ac:dyDescent="0.3">
      <c r="A61" s="107" t="str" cm="1">
        <f t="array" ref="A61">IFERROR(IF(INDEX('Helper Cells'!AL:BU,MATCH($D$20,'Helper Cells'!AK:AK,0),ROW(A12))=0,"",INDEX('Helper Cells'!AL:BU,MATCH($D$20,'Helper Cells'!AK:AK,0),ROW(A12))),"")</f>
        <v/>
      </c>
      <c r="B61" s="161" t="str">
        <f>IF(A61="","",IF($J$47="Guidance Note",INDEX('Guidance Notes'!B:B,MATCH(A61,'Guidance Notes'!A:A,0)),INDEX('Baseline Indicators'!B:B,MATCH(A61,'Baseline Indicators'!A:A,0))))</f>
        <v/>
      </c>
      <c r="C61" s="161"/>
      <c r="D61" s="161"/>
      <c r="E61" s="161"/>
      <c r="F61" s="161"/>
      <c r="G61" s="161"/>
      <c r="H61" s="161"/>
      <c r="I61" s="161"/>
      <c r="J61" s="161"/>
      <c r="K61" s="161"/>
      <c r="L61" s="161"/>
      <c r="M61" s="161"/>
      <c r="N61" s="161"/>
      <c r="O61" s="178"/>
      <c r="P61" s="179"/>
      <c r="Q61" s="92"/>
      <c r="R61" s="93"/>
      <c r="S61" s="93"/>
      <c r="T61" s="93"/>
      <c r="U61" s="93"/>
      <c r="V61" s="105"/>
    </row>
    <row r="62" spans="1:22" ht="1.95" customHeight="1" x14ac:dyDescent="0.3">
      <c r="A62" s="107" t="str" cm="1">
        <f t="array" ref="A62">IFERROR(IF(INDEX('Helper Cells'!AL:BU,MATCH($D$20,'Helper Cells'!AK:AK,0),ROW(A13))=0,"",INDEX('Helper Cells'!AL:BU,MATCH($D$20,'Helper Cells'!AK:AK,0),ROW(A13))),"")</f>
        <v/>
      </c>
      <c r="B62" s="161" t="str">
        <f>IF(A62="","",IF($J$47="Guidance Note",INDEX('Guidance Notes'!B:B,MATCH(A62,'Guidance Notes'!A:A,0)),INDEX('Baseline Indicators'!B:B,MATCH(A62,'Baseline Indicators'!A:A,0))))</f>
        <v/>
      </c>
      <c r="C62" s="161"/>
      <c r="D62" s="161"/>
      <c r="E62" s="161"/>
      <c r="F62" s="161"/>
      <c r="G62" s="161"/>
      <c r="H62" s="161"/>
      <c r="I62" s="161"/>
      <c r="J62" s="161"/>
      <c r="K62" s="161"/>
      <c r="L62" s="161"/>
      <c r="M62" s="161"/>
      <c r="N62" s="161"/>
      <c r="O62" s="178"/>
      <c r="P62" s="196"/>
      <c r="Q62" s="92"/>
      <c r="R62" s="93"/>
      <c r="S62" s="93"/>
      <c r="T62" s="93"/>
      <c r="U62" s="93"/>
      <c r="V62" s="105"/>
    </row>
    <row r="63" spans="1:22" ht="1.95" customHeight="1" x14ac:dyDescent="0.3">
      <c r="A63" s="107" t="str" cm="1">
        <f t="array" ref="A63">IFERROR(IF(INDEX('Helper Cells'!AL:BU,MATCH($D$20,'Helper Cells'!AK:AK,0),ROW(A14))=0,"",INDEX('Helper Cells'!AL:BU,MATCH($D$20,'Helper Cells'!AK:AK,0),ROW(A14))),"")</f>
        <v/>
      </c>
      <c r="B63" s="161" t="str">
        <f>IF(A63="","",IF($J$47="Guidance Note",INDEX('Guidance Notes'!B:B,MATCH(A63,'Guidance Notes'!A:A,0)),INDEX('Baseline Indicators'!B:B,MATCH(A63,'Baseline Indicators'!A:A,0))))</f>
        <v/>
      </c>
      <c r="C63" s="161"/>
      <c r="D63" s="161"/>
      <c r="E63" s="161"/>
      <c r="F63" s="161"/>
      <c r="G63" s="161"/>
      <c r="H63" s="161"/>
      <c r="I63" s="161"/>
      <c r="J63" s="161"/>
      <c r="K63" s="161"/>
      <c r="L63" s="161"/>
      <c r="M63" s="161"/>
      <c r="N63" s="161"/>
      <c r="O63" s="178"/>
      <c r="P63" s="179"/>
      <c r="Q63" s="92"/>
      <c r="R63" s="93"/>
      <c r="S63" s="93"/>
      <c r="T63" s="93"/>
      <c r="U63" s="93"/>
      <c r="V63" s="105"/>
    </row>
    <row r="64" spans="1:22" ht="1.95" customHeight="1" x14ac:dyDescent="0.3">
      <c r="A64" s="107" t="str" cm="1">
        <f t="array" ref="A64">IFERROR(IF(INDEX('Helper Cells'!AL:BU,MATCH($D$20,'Helper Cells'!AK:AK,0),ROW(A15))=0,"",INDEX('Helper Cells'!AL:BU,MATCH($D$20,'Helper Cells'!AK:AK,0),ROW(A15))),"")</f>
        <v/>
      </c>
      <c r="B64" s="161" t="str">
        <f>IF(A64="","",IF($J$47="Guidance Note",INDEX('Guidance Notes'!B:B,MATCH(A64,'Guidance Notes'!A:A,0)),INDEX('Baseline Indicators'!B:B,MATCH(A64,'Baseline Indicators'!A:A,0))))</f>
        <v/>
      </c>
      <c r="C64" s="161"/>
      <c r="D64" s="161"/>
      <c r="E64" s="161"/>
      <c r="F64" s="161"/>
      <c r="G64" s="161"/>
      <c r="H64" s="161"/>
      <c r="I64" s="161"/>
      <c r="J64" s="161"/>
      <c r="K64" s="161"/>
      <c r="L64" s="161"/>
      <c r="M64" s="161"/>
      <c r="N64" s="161"/>
      <c r="O64" s="178"/>
      <c r="P64" s="179"/>
      <c r="Q64" s="92"/>
      <c r="R64" s="93"/>
      <c r="S64" s="93"/>
      <c r="T64" s="93"/>
      <c r="U64" s="93"/>
      <c r="V64" s="105"/>
    </row>
    <row r="65" spans="1:22" ht="1.95" customHeight="1" x14ac:dyDescent="0.3">
      <c r="A65" s="107" t="str" cm="1">
        <f t="array" ref="A65">IFERROR(IF(INDEX('Helper Cells'!AL:BU,MATCH($D$20,'Helper Cells'!AK:AK,0),ROW(A16))=0,"",INDEX('Helper Cells'!AL:BU,MATCH($D$20,'Helper Cells'!AK:AK,0),ROW(A16))),"")</f>
        <v/>
      </c>
      <c r="B65" s="161" t="str">
        <f>IF(A65="","",IF($J$47="Guidance Note",INDEX('Guidance Notes'!B:B,MATCH(A65,'Guidance Notes'!A:A,0)),INDEX('Baseline Indicators'!B:B,MATCH(A65,'Baseline Indicators'!A:A,0))))</f>
        <v/>
      </c>
      <c r="C65" s="161"/>
      <c r="D65" s="161"/>
      <c r="E65" s="161"/>
      <c r="F65" s="161"/>
      <c r="G65" s="161"/>
      <c r="H65" s="161"/>
      <c r="I65" s="161"/>
      <c r="J65" s="161"/>
      <c r="K65" s="161"/>
      <c r="L65" s="161"/>
      <c r="M65" s="161"/>
      <c r="N65" s="161"/>
      <c r="O65" s="178"/>
      <c r="P65" s="179"/>
      <c r="Q65" s="92"/>
      <c r="R65" s="93"/>
      <c r="S65" s="93"/>
      <c r="T65" s="93"/>
      <c r="U65" s="93"/>
      <c r="V65" s="105"/>
    </row>
    <row r="66" spans="1:22" ht="1.95" customHeight="1" x14ac:dyDescent="0.3">
      <c r="A66" s="107" t="str" cm="1">
        <f t="array" ref="A66">IFERROR(IF(INDEX('Helper Cells'!AL:BU,MATCH($D$20,'Helper Cells'!AK:AK,0),ROW(A17))=0,"",INDEX('Helper Cells'!AL:BU,MATCH($D$20,'Helper Cells'!AK:AK,0),ROW(A17))),"")</f>
        <v/>
      </c>
      <c r="B66" s="161" t="str">
        <f>IF(A66="","",IF($J$47="Guidance Note",INDEX('Guidance Notes'!B:B,MATCH(A66,'Guidance Notes'!A:A,0)),INDEX('Baseline Indicators'!B:B,MATCH(A66,'Baseline Indicators'!A:A,0))))</f>
        <v/>
      </c>
      <c r="C66" s="161"/>
      <c r="D66" s="161"/>
      <c r="E66" s="161"/>
      <c r="F66" s="161"/>
      <c r="G66" s="161"/>
      <c r="H66" s="161"/>
      <c r="I66" s="161"/>
      <c r="J66" s="161"/>
      <c r="K66" s="161"/>
      <c r="L66" s="161"/>
      <c r="M66" s="161"/>
      <c r="N66" s="161"/>
      <c r="O66" s="199"/>
      <c r="P66" s="200"/>
      <c r="Q66" s="92"/>
      <c r="R66" s="93"/>
      <c r="S66" s="93"/>
      <c r="T66" s="93"/>
      <c r="U66" s="93"/>
      <c r="V66" s="105"/>
    </row>
    <row r="67" spans="1:22" ht="1.95" customHeight="1" x14ac:dyDescent="0.3">
      <c r="A67" s="107" t="str" cm="1">
        <f t="array" ref="A67">IFERROR(IF(INDEX('Helper Cells'!AL:BU,MATCH($D$20,'Helper Cells'!AK:AK,0),ROW(A18))=0,"",INDEX('Helper Cells'!AL:BU,MATCH($D$20,'Helper Cells'!AK:AK,0),ROW(A18))),"")</f>
        <v/>
      </c>
      <c r="B67" s="161" t="str">
        <f>IF(A67="","",IF($J$47="Guidance Note",INDEX('Guidance Notes'!B:B,MATCH(A67,'Guidance Notes'!A:A,0)),INDEX('Baseline Indicators'!B:B,MATCH(A67,'Baseline Indicators'!A:A,0))))</f>
        <v/>
      </c>
      <c r="C67" s="161"/>
      <c r="D67" s="161"/>
      <c r="E67" s="161"/>
      <c r="F67" s="161"/>
      <c r="G67" s="161"/>
      <c r="H67" s="161"/>
      <c r="I67" s="161"/>
      <c r="J67" s="161"/>
      <c r="K67" s="161"/>
      <c r="L67" s="161"/>
      <c r="M67" s="161"/>
      <c r="N67" s="161"/>
      <c r="O67" s="178"/>
      <c r="P67" s="179"/>
      <c r="Q67" s="92"/>
      <c r="R67" s="93"/>
      <c r="S67" s="93"/>
      <c r="T67" s="93"/>
      <c r="U67" s="93"/>
      <c r="V67" s="105"/>
    </row>
    <row r="68" spans="1:22" ht="1.95" customHeight="1" x14ac:dyDescent="0.3">
      <c r="A68" s="107" t="str" cm="1">
        <f t="array" ref="A68">IFERROR(IF(INDEX('Helper Cells'!AL:BU,MATCH($D$20,'Helper Cells'!AK:AK,0),ROW(A19))=0,"",INDEX('Helper Cells'!AL:BU,MATCH($D$20,'Helper Cells'!AK:AK,0),ROW(A19))),"")</f>
        <v/>
      </c>
      <c r="B68" s="161" t="str">
        <f>IF(A68="","",IF($J$47="Guidance Note",INDEX('Guidance Notes'!B:B,MATCH(A68,'Guidance Notes'!A:A,0)),INDEX('Baseline Indicators'!B:B,MATCH(A68,'Baseline Indicators'!A:A,0))))</f>
        <v/>
      </c>
      <c r="C68" s="161"/>
      <c r="D68" s="161"/>
      <c r="E68" s="161"/>
      <c r="F68" s="161"/>
      <c r="G68" s="161"/>
      <c r="H68" s="161"/>
      <c r="I68" s="161"/>
      <c r="J68" s="161"/>
      <c r="K68" s="161"/>
      <c r="L68" s="161"/>
      <c r="M68" s="161"/>
      <c r="N68" s="161"/>
      <c r="O68" s="178"/>
      <c r="P68" s="196"/>
      <c r="Q68" s="92"/>
      <c r="R68" s="93"/>
      <c r="S68" s="93"/>
      <c r="T68" s="93"/>
      <c r="U68" s="93"/>
      <c r="V68" s="105"/>
    </row>
    <row r="69" spans="1:22" ht="1.95" customHeight="1" x14ac:dyDescent="0.3">
      <c r="A69" s="107" t="str" cm="1">
        <f t="array" ref="A69">IFERROR(IF(INDEX('Helper Cells'!AL:BU,MATCH($D$20,'Helper Cells'!AK:AK,0),ROW(A20))=0,"",INDEX('Helper Cells'!AL:BU,MATCH($D$20,'Helper Cells'!AK:AK,0),ROW(A20))),"")</f>
        <v/>
      </c>
      <c r="B69" s="161" t="str">
        <f>IF(A69="","",IF($J$47="Guidance Note",INDEX('Guidance Notes'!B:B,MATCH(A69,'Guidance Notes'!A:A,0)),INDEX('Baseline Indicators'!B:B,MATCH(A69,'Baseline Indicators'!A:A,0))))</f>
        <v/>
      </c>
      <c r="C69" s="161"/>
      <c r="D69" s="161"/>
      <c r="E69" s="161"/>
      <c r="F69" s="161"/>
      <c r="G69" s="161"/>
      <c r="H69" s="161"/>
      <c r="I69" s="161"/>
      <c r="J69" s="161"/>
      <c r="K69" s="161"/>
      <c r="L69" s="161"/>
      <c r="M69" s="161"/>
      <c r="N69" s="161"/>
      <c r="O69" s="178"/>
      <c r="P69" s="196"/>
      <c r="Q69" s="92"/>
      <c r="R69" s="93"/>
      <c r="S69" s="93"/>
      <c r="T69" s="93"/>
      <c r="U69" s="93"/>
      <c r="V69" s="105"/>
    </row>
    <row r="70" spans="1:22" ht="1.95" customHeight="1" x14ac:dyDescent="0.3">
      <c r="A70" s="107" t="str" cm="1">
        <f t="array" ref="A70">IFERROR(IF(INDEX('Helper Cells'!AL:BU,MATCH($D$20,'Helper Cells'!AK:AK,0),ROW(A21))=0,"",INDEX('Helper Cells'!AL:BU,MATCH($D$20,'Helper Cells'!AK:AK,0),ROW(A21))),"")</f>
        <v/>
      </c>
      <c r="B70" s="161" t="str">
        <f>IF(A70="","",IF($J$47="Guidance Note",INDEX('Guidance Notes'!B:B,MATCH(A70,'Guidance Notes'!A:A,0)),INDEX('Baseline Indicators'!B:B,MATCH(A70,'Baseline Indicators'!A:A,0))))</f>
        <v/>
      </c>
      <c r="C70" s="161"/>
      <c r="D70" s="161"/>
      <c r="E70" s="161"/>
      <c r="F70" s="161"/>
      <c r="G70" s="161"/>
      <c r="H70" s="161"/>
      <c r="I70" s="161"/>
      <c r="J70" s="161"/>
      <c r="K70" s="161"/>
      <c r="L70" s="161"/>
      <c r="M70" s="161"/>
      <c r="N70" s="161"/>
      <c r="O70" s="178"/>
      <c r="P70" s="179"/>
      <c r="Q70" s="92"/>
      <c r="R70" s="93"/>
      <c r="S70" s="93"/>
      <c r="T70" s="93"/>
      <c r="U70" s="93"/>
      <c r="V70" s="105"/>
    </row>
    <row r="71" spans="1:22" ht="1.95" customHeight="1" x14ac:dyDescent="0.3">
      <c r="A71" s="107" t="str" cm="1">
        <f t="array" ref="A71">IFERROR(IF(INDEX('Helper Cells'!AL:BU,MATCH($D$20,'Helper Cells'!AK:AK,0),ROW(A22))=0,"",INDEX('Helper Cells'!AL:BU,MATCH($D$20,'Helper Cells'!AK:AK,0),ROW(A22))),"")</f>
        <v/>
      </c>
      <c r="B71" s="161" t="str">
        <f>IF(A71="","",IF($J$47="Guidance Note",INDEX('Guidance Notes'!B:B,MATCH(A71,'Guidance Notes'!A:A,0)),INDEX('Baseline Indicators'!B:B,MATCH(A71,'Baseline Indicators'!A:A,0))))</f>
        <v/>
      </c>
      <c r="C71" s="161"/>
      <c r="D71" s="161"/>
      <c r="E71" s="161"/>
      <c r="F71" s="161"/>
      <c r="G71" s="161"/>
      <c r="H71" s="161"/>
      <c r="I71" s="161"/>
      <c r="J71" s="161"/>
      <c r="K71" s="161"/>
      <c r="L71" s="161"/>
      <c r="M71" s="161"/>
      <c r="N71" s="161"/>
      <c r="O71" s="178"/>
      <c r="P71" s="179"/>
      <c r="Q71" s="92"/>
      <c r="R71" s="93"/>
      <c r="S71" s="93"/>
      <c r="T71" s="93"/>
      <c r="U71" s="93"/>
      <c r="V71" s="105"/>
    </row>
    <row r="72" spans="1:22" ht="1.95" customHeight="1" x14ac:dyDescent="0.3">
      <c r="A72" s="107" t="str" cm="1">
        <f t="array" ref="A72">IFERROR(IF(INDEX('Helper Cells'!AL:BU,MATCH($D$20,'Helper Cells'!AK:AK,0),ROW(A23))=0,"",INDEX('Helper Cells'!AL:BU,MATCH($D$20,'Helper Cells'!AK:AK,0),ROW(A23))),"")</f>
        <v/>
      </c>
      <c r="B72" s="161" t="str">
        <f>IF(A72="","",IF($J$47="Guidance Note",INDEX('Guidance Notes'!B:B,MATCH(A72,'Guidance Notes'!A:A,0)),INDEX('Baseline Indicators'!B:B,MATCH(A72,'Baseline Indicators'!A:A,0))))</f>
        <v/>
      </c>
      <c r="C72" s="161"/>
      <c r="D72" s="161"/>
      <c r="E72" s="161"/>
      <c r="F72" s="161"/>
      <c r="G72" s="161"/>
      <c r="H72" s="161"/>
      <c r="I72" s="161"/>
      <c r="J72" s="161"/>
      <c r="K72" s="161"/>
      <c r="L72" s="161"/>
      <c r="M72" s="161"/>
      <c r="N72" s="161"/>
      <c r="O72" s="178"/>
      <c r="P72" s="179"/>
      <c r="Q72" s="92"/>
      <c r="R72" s="93"/>
      <c r="S72" s="93"/>
      <c r="T72" s="93"/>
      <c r="U72" s="93"/>
      <c r="V72" s="105"/>
    </row>
    <row r="73" spans="1:22" ht="1.95" customHeight="1" x14ac:dyDescent="0.3">
      <c r="A73" s="107" t="str" cm="1">
        <f t="array" ref="A73">IFERROR(IF(INDEX('Helper Cells'!AL:BU,MATCH($D$20,'Helper Cells'!AK:AK,0),ROW(A24))=0,"",INDEX('Helper Cells'!AL:BU,MATCH($D$20,'Helper Cells'!AK:AK,0),ROW(A24))),"")</f>
        <v/>
      </c>
      <c r="B73" s="161" t="str">
        <f>IF(A73="","",IF($J$47="Guidance Note",INDEX('Guidance Notes'!B:B,MATCH(A73,'Guidance Notes'!A:A,0)),INDEX('Baseline Indicators'!B:B,MATCH(A73,'Baseline Indicators'!A:A,0))))</f>
        <v/>
      </c>
      <c r="C73" s="161"/>
      <c r="D73" s="161"/>
      <c r="E73" s="161"/>
      <c r="F73" s="161"/>
      <c r="G73" s="161"/>
      <c r="H73" s="161"/>
      <c r="I73" s="161"/>
      <c r="J73" s="161"/>
      <c r="K73" s="161"/>
      <c r="L73" s="161"/>
      <c r="M73" s="161"/>
      <c r="N73" s="161"/>
      <c r="O73" s="178"/>
      <c r="P73" s="179"/>
      <c r="Q73" s="92"/>
      <c r="R73" s="93"/>
      <c r="S73" s="93"/>
      <c r="T73" s="93"/>
      <c r="U73" s="93"/>
      <c r="V73" s="105"/>
    </row>
    <row r="74" spans="1:22" ht="1.95" customHeight="1" x14ac:dyDescent="0.3">
      <c r="A74" s="107" t="str" cm="1">
        <f t="array" ref="A74">IFERROR(IF(INDEX('Helper Cells'!AL:BU,MATCH($D$20,'Helper Cells'!AK:AK,0),ROW(A25))=0,"",INDEX('Helper Cells'!AL:BU,MATCH($D$20,'Helper Cells'!AK:AK,0),ROW(A25))),"")</f>
        <v/>
      </c>
      <c r="B74" s="161" t="str">
        <f>IF(A74="","",IF($J$47="Guidance Note",INDEX('Guidance Notes'!B:B,MATCH(A74,'Guidance Notes'!A:A,0)),INDEX('Baseline Indicators'!B:B,MATCH(A74,'Baseline Indicators'!A:A,0))))</f>
        <v/>
      </c>
      <c r="C74" s="161"/>
      <c r="D74" s="161"/>
      <c r="E74" s="161"/>
      <c r="F74" s="161"/>
      <c r="G74" s="161"/>
      <c r="H74" s="161"/>
      <c r="I74" s="161"/>
      <c r="J74" s="161"/>
      <c r="K74" s="161"/>
      <c r="L74" s="161"/>
      <c r="M74" s="161"/>
      <c r="N74" s="161"/>
      <c r="O74" s="178"/>
      <c r="P74" s="179"/>
      <c r="Q74" s="92"/>
      <c r="R74" s="93"/>
      <c r="S74" s="93"/>
      <c r="T74" s="93"/>
      <c r="U74" s="93"/>
      <c r="V74" s="105"/>
    </row>
    <row r="75" spans="1:22" ht="1.95" customHeight="1" x14ac:dyDescent="0.3">
      <c r="A75" s="107" t="str" cm="1">
        <f t="array" ref="A75">IFERROR(IF(INDEX('Helper Cells'!AL:BU,MATCH($D$20,'Helper Cells'!AK:AK,0),ROW(A26))=0,"",INDEX('Helper Cells'!AL:BU,MATCH($D$20,'Helper Cells'!AK:AK,0),ROW(A26))),"")</f>
        <v/>
      </c>
      <c r="B75" s="161" t="str">
        <f>IF(A75="","",IF($J$47="Guidance Note",INDEX('Guidance Notes'!B:B,MATCH(A75,'Guidance Notes'!A:A,0)),INDEX('Baseline Indicators'!B:B,MATCH(A75,'Baseline Indicators'!A:A,0))))</f>
        <v/>
      </c>
      <c r="C75" s="161"/>
      <c r="D75" s="161"/>
      <c r="E75" s="161"/>
      <c r="F75" s="161"/>
      <c r="G75" s="161"/>
      <c r="H75" s="161"/>
      <c r="I75" s="161"/>
      <c r="J75" s="161"/>
      <c r="K75" s="161"/>
      <c r="L75" s="161"/>
      <c r="M75" s="161"/>
      <c r="N75" s="161"/>
      <c r="O75" s="178"/>
      <c r="P75" s="179"/>
      <c r="Q75" s="92"/>
      <c r="R75" s="93"/>
      <c r="S75" s="93"/>
      <c r="T75" s="93"/>
      <c r="U75" s="93"/>
      <c r="V75" s="105"/>
    </row>
    <row r="76" spans="1:22" ht="1.95" customHeight="1" x14ac:dyDescent="0.3">
      <c r="A76" s="107" t="str" cm="1">
        <f t="array" ref="A76">IFERROR(IF(INDEX('Helper Cells'!AL:BU,MATCH($D$20,'Helper Cells'!AK:AK,0),ROW(A27))=0,"",INDEX('Helper Cells'!AL:BU,MATCH($D$20,'Helper Cells'!AK:AK,0),ROW(A27))),"")</f>
        <v/>
      </c>
      <c r="B76" s="161" t="str">
        <f>IF(A76="","",IF($J$47="Guidance Note",INDEX('Guidance Notes'!B:B,MATCH(A76,'Guidance Notes'!A:A,0)),INDEX('Baseline Indicators'!B:B,MATCH(A76,'Baseline Indicators'!A:A,0))))</f>
        <v/>
      </c>
      <c r="C76" s="161"/>
      <c r="D76" s="161"/>
      <c r="E76" s="161"/>
      <c r="F76" s="161"/>
      <c r="G76" s="161"/>
      <c r="H76" s="161"/>
      <c r="I76" s="161"/>
      <c r="J76" s="161"/>
      <c r="K76" s="161"/>
      <c r="L76" s="161"/>
      <c r="M76" s="161"/>
      <c r="N76" s="161"/>
      <c r="O76" s="178"/>
      <c r="P76" s="179"/>
      <c r="Q76" s="92"/>
      <c r="R76" s="93"/>
      <c r="S76" s="93"/>
      <c r="T76" s="93"/>
      <c r="U76" s="93"/>
      <c r="V76" s="105"/>
    </row>
    <row r="77" spans="1:22" ht="1.95" customHeight="1" x14ac:dyDescent="0.3">
      <c r="A77" s="107" t="str" cm="1">
        <f t="array" ref="A77">IFERROR(IF(INDEX('Helper Cells'!AL:BU,MATCH($D$20,'Helper Cells'!AK:AK,0),ROW(A28))=0,"",INDEX('Helper Cells'!AL:BU,MATCH($D$20,'Helper Cells'!AK:AK,0),ROW(A28))),"")</f>
        <v/>
      </c>
      <c r="B77" s="161" t="str">
        <f>IF(A77="","",IF($J$47="Guidance Note",INDEX('Guidance Notes'!B:B,MATCH(A77,'Guidance Notes'!A:A,0)),INDEX('Baseline Indicators'!B:B,MATCH(A77,'Baseline Indicators'!A:A,0))))</f>
        <v/>
      </c>
      <c r="C77" s="161"/>
      <c r="D77" s="161"/>
      <c r="E77" s="161"/>
      <c r="F77" s="161"/>
      <c r="G77" s="161"/>
      <c r="H77" s="161"/>
      <c r="I77" s="161"/>
      <c r="J77" s="161"/>
      <c r="K77" s="161"/>
      <c r="L77" s="161"/>
      <c r="M77" s="161"/>
      <c r="N77" s="161"/>
      <c r="O77" s="178"/>
      <c r="P77" s="179"/>
      <c r="Q77" s="92"/>
      <c r="R77" s="93"/>
      <c r="S77" s="93"/>
      <c r="T77" s="93"/>
      <c r="U77" s="93"/>
      <c r="V77" s="105"/>
    </row>
    <row r="78" spans="1:22" ht="1.95" customHeight="1" x14ac:dyDescent="0.3">
      <c r="A78" s="107" t="str" cm="1">
        <f t="array" ref="A78">IFERROR(IF(INDEX('Helper Cells'!AL:BU,MATCH($D$20,'Helper Cells'!AK:AK,0),ROW(A29))=0,"",INDEX('Helper Cells'!AL:BU,MATCH($D$20,'Helper Cells'!AK:AK,0),ROW(A29))),"")</f>
        <v/>
      </c>
      <c r="B78" s="161" t="str">
        <f>IF(A78="","",IF($J$47="Guidance Note",INDEX('Guidance Notes'!B:B,MATCH(A78,'Guidance Notes'!A:A,0)),INDEX('Baseline Indicators'!B:B,MATCH(A78,'Baseline Indicators'!A:A,0))))</f>
        <v/>
      </c>
      <c r="C78" s="161"/>
      <c r="D78" s="161"/>
      <c r="E78" s="161"/>
      <c r="F78" s="161"/>
      <c r="G78" s="161"/>
      <c r="H78" s="161"/>
      <c r="I78" s="161"/>
      <c r="J78" s="161"/>
      <c r="K78" s="161"/>
      <c r="L78" s="161"/>
      <c r="M78" s="161"/>
      <c r="N78" s="161"/>
      <c r="O78" s="178"/>
      <c r="P78" s="179"/>
      <c r="Q78" s="92"/>
      <c r="R78" s="93"/>
      <c r="S78" s="93"/>
      <c r="T78" s="93"/>
      <c r="U78" s="93"/>
      <c r="V78" s="105"/>
    </row>
    <row r="79" spans="1:22" ht="1.95" customHeight="1" x14ac:dyDescent="0.3">
      <c r="A79" s="107" t="str" cm="1">
        <f t="array" ref="A79">IFERROR(IF(INDEX('Helper Cells'!AL:BU,MATCH($D$20,'Helper Cells'!AK:AK,0),ROW(A30))=0,"",INDEX('Helper Cells'!AL:BU,MATCH($D$20,'Helper Cells'!AK:AK,0),ROW(A30))),"")</f>
        <v/>
      </c>
      <c r="B79" s="161" t="str">
        <f>IF(A79="","",IF($J$47="Guidance Note",INDEX('Guidance Notes'!B:B,MATCH(A79,'Guidance Notes'!A:A,0)),INDEX('Baseline Indicators'!B:B,MATCH(A79,'Baseline Indicators'!A:A,0))))</f>
        <v/>
      </c>
      <c r="C79" s="161"/>
      <c r="D79" s="161"/>
      <c r="E79" s="161"/>
      <c r="F79" s="161"/>
      <c r="G79" s="161"/>
      <c r="H79" s="161"/>
      <c r="I79" s="161"/>
      <c r="J79" s="161"/>
      <c r="K79" s="161"/>
      <c r="L79" s="161"/>
      <c r="M79" s="161"/>
      <c r="N79" s="161"/>
      <c r="O79" s="178"/>
      <c r="P79" s="179"/>
      <c r="Q79" s="92"/>
      <c r="R79" s="93"/>
      <c r="S79" s="93"/>
      <c r="T79" s="93"/>
      <c r="U79" s="93"/>
      <c r="V79" s="105"/>
    </row>
    <row r="80" spans="1:22" ht="1.95" customHeight="1" x14ac:dyDescent="0.3">
      <c r="A80" s="107" t="str" cm="1">
        <f t="array" ref="A80">IFERROR(IF(INDEX('Helper Cells'!AL:BU,MATCH($D$20,'Helper Cells'!AK:AK,0),ROW(A31))=0,"",INDEX('Helper Cells'!AL:BU,MATCH($D$20,'Helper Cells'!AK:AK,0),ROW(A31))),"")</f>
        <v/>
      </c>
      <c r="B80" s="161" t="str">
        <f>IF(A80="","",IF($J$47="Guidance Note",INDEX('Guidance Notes'!B:B,MATCH(A80,'Guidance Notes'!A:A,0)),INDEX('Baseline Indicators'!B:B,MATCH(A80,'Baseline Indicators'!A:A,0))))</f>
        <v/>
      </c>
      <c r="C80" s="161"/>
      <c r="D80" s="161"/>
      <c r="E80" s="161"/>
      <c r="F80" s="161"/>
      <c r="G80" s="161"/>
      <c r="H80" s="161"/>
      <c r="I80" s="161"/>
      <c r="J80" s="161"/>
      <c r="K80" s="161"/>
      <c r="L80" s="161"/>
      <c r="M80" s="161"/>
      <c r="N80" s="161"/>
      <c r="O80" s="178"/>
      <c r="P80" s="179"/>
      <c r="Q80" s="92"/>
      <c r="R80" s="93"/>
      <c r="S80" s="93"/>
      <c r="T80" s="93"/>
      <c r="U80" s="93"/>
      <c r="V80" s="105"/>
    </row>
    <row r="81" spans="1:22" ht="1.95" customHeight="1" x14ac:dyDescent="0.3">
      <c r="A81" s="107" t="str" cm="1">
        <f t="array" ref="A81">IFERROR(IF(INDEX('Helper Cells'!AL:BU,MATCH($D$20,'Helper Cells'!AK:AK,0),ROW(A32))=0,"",INDEX('Helper Cells'!AL:BU,MATCH($D$20,'Helper Cells'!AK:AK,0),ROW(A32))),"")</f>
        <v/>
      </c>
      <c r="B81" s="161" t="str">
        <f>IF(A81="","",IF($J$47="Guidance Note",INDEX('Guidance Notes'!B:B,MATCH(A81,'Guidance Notes'!A:A,0)),INDEX('Baseline Indicators'!B:B,MATCH(A81,'Baseline Indicators'!A:A,0))))</f>
        <v/>
      </c>
      <c r="C81" s="161"/>
      <c r="D81" s="161"/>
      <c r="E81" s="161"/>
      <c r="F81" s="161"/>
      <c r="G81" s="161"/>
      <c r="H81" s="161"/>
      <c r="I81" s="161"/>
      <c r="J81" s="161"/>
      <c r="K81" s="161"/>
      <c r="L81" s="161"/>
      <c r="M81" s="161"/>
      <c r="N81" s="161"/>
      <c r="O81" s="178"/>
      <c r="P81" s="179"/>
      <c r="Q81" s="92"/>
      <c r="R81" s="93"/>
      <c r="S81" s="93"/>
      <c r="T81" s="93"/>
      <c r="U81" s="93"/>
      <c r="V81" s="105"/>
    </row>
    <row r="82" spans="1:22" ht="1.95" customHeight="1" x14ac:dyDescent="0.3">
      <c r="A82" s="107" t="str" cm="1">
        <f t="array" ref="A82">IFERROR(IF(INDEX('Helper Cells'!AL:BU,MATCH($D$20,'Helper Cells'!AK:AK,0),ROW(A33))=0,"",INDEX('Helper Cells'!AL:BU,MATCH($D$20,'Helper Cells'!AK:AK,0),ROW(A33))),"")</f>
        <v/>
      </c>
      <c r="B82" s="161" t="str">
        <f>IF(A82="","",IF($J$47="Guidance Note",INDEX('Guidance Notes'!B:B,MATCH(A82,'Guidance Notes'!A:A,0)),INDEX('Baseline Indicators'!B:B,MATCH(A82,'Baseline Indicators'!A:A,0))))</f>
        <v/>
      </c>
      <c r="C82" s="161"/>
      <c r="D82" s="161"/>
      <c r="E82" s="161"/>
      <c r="F82" s="161"/>
      <c r="G82" s="161"/>
      <c r="H82" s="161"/>
      <c r="I82" s="161"/>
      <c r="J82" s="161"/>
      <c r="K82" s="161"/>
      <c r="L82" s="161"/>
      <c r="M82" s="161"/>
      <c r="N82" s="161"/>
      <c r="O82" s="178"/>
      <c r="P82" s="179"/>
      <c r="Q82" s="92"/>
      <c r="R82" s="93"/>
      <c r="S82" s="93"/>
      <c r="T82" s="93"/>
      <c r="U82" s="93"/>
      <c r="V82" s="105"/>
    </row>
    <row r="83" spans="1:22" ht="1.95" customHeight="1" x14ac:dyDescent="0.3">
      <c r="A83" s="108" t="str" cm="1">
        <f t="array" ref="A83">IFERROR(IF(INDEX('Helper Cells'!AL:BU,MATCH($D$20,'Helper Cells'!AK:AK,0),ROW(A34))=0,"",INDEX('Helper Cells'!AL:BU,MATCH($D$20,'Helper Cells'!AK:AK,0),ROW(A34))),"")</f>
        <v/>
      </c>
      <c r="B83" s="161" t="str">
        <f>IF(A83="","",IF($J$47="Guidance Note",INDEX('Guidance Notes'!B:B,MATCH(A83,'Guidance Notes'!A:A,0)),INDEX('Baseline Indicators'!B:B,MATCH(A83,'Baseline Indicators'!A:A,0))))</f>
        <v/>
      </c>
      <c r="C83" s="161"/>
      <c r="D83" s="161"/>
      <c r="E83" s="161"/>
      <c r="F83" s="161"/>
      <c r="G83" s="161"/>
      <c r="H83" s="161"/>
      <c r="I83" s="161"/>
      <c r="J83" s="161"/>
      <c r="K83" s="161"/>
      <c r="L83" s="161"/>
      <c r="M83" s="161"/>
      <c r="N83" s="161"/>
      <c r="O83" s="178"/>
      <c r="P83" s="186"/>
      <c r="Q83" s="92"/>
      <c r="R83" s="93"/>
      <c r="S83" s="93"/>
      <c r="T83" s="93"/>
      <c r="U83" s="93"/>
      <c r="V83" s="105"/>
    </row>
    <row r="84" spans="1:22" ht="1.95" customHeight="1" x14ac:dyDescent="0.3">
      <c r="A84" s="108" t="str" cm="1">
        <f t="array" ref="A84">IFERROR(IF(INDEX('Helper Cells'!AL:BU,MATCH($D$20,'Helper Cells'!AK:AK,0),ROW(A35))=0,"",INDEX('Helper Cells'!AL:BU,MATCH($D$20,'Helper Cells'!AK:AK,0),ROW(A35))),"")</f>
        <v/>
      </c>
      <c r="B84" s="161" t="str">
        <f>IF(A84="","",IF($J$47="Guidance Note",INDEX('Guidance Notes'!B:B,MATCH(A84,'Guidance Notes'!A:A,0)),INDEX('Baseline Indicators'!B:B,MATCH(A84,'Baseline Indicators'!A:A,0))))</f>
        <v/>
      </c>
      <c r="C84" s="161"/>
      <c r="D84" s="161"/>
      <c r="E84" s="161"/>
      <c r="F84" s="161"/>
      <c r="G84" s="161"/>
      <c r="H84" s="161"/>
      <c r="I84" s="161"/>
      <c r="J84" s="161"/>
      <c r="K84" s="161"/>
      <c r="L84" s="161"/>
      <c r="M84" s="161"/>
      <c r="N84" s="161"/>
      <c r="O84" s="162"/>
      <c r="P84" s="163"/>
      <c r="Q84" s="92"/>
      <c r="R84" s="93"/>
      <c r="S84" s="93"/>
      <c r="T84" s="93"/>
      <c r="U84" s="93"/>
      <c r="V84" s="109"/>
    </row>
    <row r="85" spans="1:22" ht="1.95" customHeight="1" x14ac:dyDescent="0.3">
      <c r="A85" s="108" t="str" cm="1">
        <f t="array" ref="A85">IFERROR(IF(INDEX('Helper Cells'!AL:BU,MATCH($D$20,'Helper Cells'!AK:AK,0),ROW(A36))=0,"",INDEX('Helper Cells'!AL:BU,MATCH($D$20,'Helper Cells'!AK:AK,0),ROW(A36))),"")</f>
        <v/>
      </c>
      <c r="B85" s="161" t="str">
        <f>IF(A85="","",IF($J$47="Guidance Note",INDEX('Guidance Notes'!B:B,MATCH(A85,'Guidance Notes'!A:A,0)),INDEX('Baseline Indicators'!B:B,MATCH(A85,'Baseline Indicators'!A:A,0))))</f>
        <v/>
      </c>
      <c r="C85" s="161"/>
      <c r="D85" s="161"/>
      <c r="E85" s="161"/>
      <c r="F85" s="161"/>
      <c r="G85" s="161"/>
      <c r="H85" s="161"/>
      <c r="I85" s="161"/>
      <c r="J85" s="161"/>
      <c r="K85" s="161"/>
      <c r="L85" s="161"/>
      <c r="M85" s="161"/>
      <c r="N85" s="161"/>
      <c r="O85" s="164"/>
      <c r="P85" s="165"/>
      <c r="Q85" s="92"/>
      <c r="R85" s="93"/>
      <c r="S85" s="93"/>
      <c r="T85" s="93"/>
      <c r="U85" s="93"/>
      <c r="V85" s="109"/>
    </row>
    <row r="86" spans="1:22" ht="16.5" customHeight="1" x14ac:dyDescent="0.3">
      <c r="A86" s="201" t="str">
        <f>IF(F1="","Matters Affecting the Likelihood of a Harmful Occurrence","Matters Affecting the Likelihood of a Harmful Occurrence - "&amp;I1)</f>
        <v>Matters Affecting the Likelihood of a Harmful Occurrence - Enter Hazard Number in Cell D20</v>
      </c>
      <c r="B86" s="202"/>
      <c r="C86" s="202"/>
      <c r="D86" s="202"/>
      <c r="E86" s="202"/>
      <c r="F86" s="202"/>
      <c r="G86" s="202"/>
      <c r="H86" s="202"/>
      <c r="I86" s="202"/>
      <c r="J86" s="202"/>
      <c r="K86" s="202"/>
      <c r="L86" s="202"/>
      <c r="M86" s="202"/>
      <c r="N86" s="202"/>
      <c r="O86" s="202"/>
      <c r="P86" s="203"/>
      <c r="Q86" s="92"/>
      <c r="R86" s="93"/>
      <c r="S86" s="93"/>
      <c r="T86" s="93"/>
      <c r="U86" s="93"/>
      <c r="V86" s="105"/>
    </row>
    <row r="87" spans="1:22" ht="16.5" customHeight="1" thickBot="1" x14ac:dyDescent="0.35">
      <c r="A87" s="204"/>
      <c r="B87" s="205"/>
      <c r="C87" s="205"/>
      <c r="D87" s="205"/>
      <c r="E87" s="205"/>
      <c r="F87" s="205"/>
      <c r="G87" s="205"/>
      <c r="H87" s="205"/>
      <c r="I87" s="205"/>
      <c r="J87" s="205"/>
      <c r="K87" s="205"/>
      <c r="L87" s="205"/>
      <c r="M87" s="205"/>
      <c r="N87" s="205"/>
      <c r="O87" s="205"/>
      <c r="P87" s="206"/>
      <c r="Q87" s="92"/>
      <c r="R87" s="93"/>
      <c r="S87" s="93"/>
      <c r="T87" s="93"/>
      <c r="U87" s="93"/>
      <c r="V87" s="105"/>
    </row>
    <row r="88" spans="1:22" ht="19.350000000000001" customHeight="1" x14ac:dyDescent="0.3">
      <c r="A88" s="576" t="s">
        <v>341</v>
      </c>
      <c r="B88" s="577"/>
      <c r="C88" s="577"/>
      <c r="D88" s="577"/>
      <c r="E88" s="577"/>
      <c r="F88" s="577"/>
      <c r="G88" s="577"/>
      <c r="H88" s="577"/>
      <c r="I88" s="577"/>
      <c r="J88" s="577"/>
      <c r="K88" s="577"/>
      <c r="L88" s="577"/>
      <c r="M88" s="577"/>
      <c r="N88" s="577"/>
      <c r="O88" s="577"/>
      <c r="P88" s="578"/>
      <c r="Q88" s="92"/>
      <c r="R88" s="93"/>
      <c r="S88" s="93"/>
      <c r="T88" s="93"/>
      <c r="U88" s="93"/>
      <c r="V88" s="105"/>
    </row>
    <row r="89" spans="1:22" ht="19.5" customHeight="1" x14ac:dyDescent="0.3">
      <c r="A89" s="579"/>
      <c r="B89" s="580"/>
      <c r="C89" s="580"/>
      <c r="D89" s="580"/>
      <c r="E89" s="580"/>
      <c r="F89" s="580"/>
      <c r="G89" s="580"/>
      <c r="H89" s="580"/>
      <c r="I89" s="580"/>
      <c r="J89" s="580"/>
      <c r="K89" s="580"/>
      <c r="L89" s="580"/>
      <c r="M89" s="580"/>
      <c r="N89" s="580"/>
      <c r="O89" s="580"/>
      <c r="P89" s="581"/>
      <c r="Q89" s="92"/>
      <c r="R89" s="93"/>
      <c r="S89" s="93"/>
      <c r="T89" s="93"/>
      <c r="U89" s="93"/>
      <c r="V89" s="105"/>
    </row>
    <row r="90" spans="1:22" ht="1.95" customHeight="1" x14ac:dyDescent="0.3">
      <c r="A90" s="166"/>
      <c r="B90" s="167"/>
      <c r="C90" s="168"/>
      <c r="D90" s="168"/>
      <c r="E90" s="168"/>
      <c r="F90" s="168"/>
      <c r="G90" s="168"/>
      <c r="H90" s="168"/>
      <c r="I90" s="168"/>
      <c r="J90" s="168"/>
      <c r="K90" s="168"/>
      <c r="L90" s="168"/>
      <c r="M90" s="168"/>
      <c r="N90" s="168"/>
      <c r="O90" s="173"/>
      <c r="P90" s="174"/>
      <c r="Q90" s="92"/>
      <c r="R90" s="93"/>
      <c r="S90" s="93"/>
      <c r="T90" s="93"/>
      <c r="U90" s="93"/>
      <c r="V90" s="109"/>
    </row>
    <row r="91" spans="1:22" ht="1.95" customHeight="1" x14ac:dyDescent="0.3">
      <c r="A91" s="166"/>
      <c r="B91" s="167"/>
      <c r="C91" s="168"/>
      <c r="D91" s="168"/>
      <c r="E91" s="168"/>
      <c r="F91" s="168"/>
      <c r="G91" s="168"/>
      <c r="H91" s="168"/>
      <c r="I91" s="168"/>
      <c r="J91" s="168"/>
      <c r="K91" s="168"/>
      <c r="L91" s="168"/>
      <c r="M91" s="168"/>
      <c r="N91" s="168"/>
      <c r="O91" s="173"/>
      <c r="P91" s="174"/>
      <c r="Q91" s="92"/>
      <c r="R91" s="93"/>
      <c r="S91" s="93"/>
      <c r="T91" s="93"/>
      <c r="U91" s="93"/>
      <c r="V91" s="109"/>
    </row>
    <row r="92" spans="1:22" ht="1.95" customHeight="1" x14ac:dyDescent="0.3">
      <c r="A92" s="166"/>
      <c r="B92" s="167"/>
      <c r="C92" s="168"/>
      <c r="D92" s="168"/>
      <c r="E92" s="168"/>
      <c r="F92" s="168"/>
      <c r="G92" s="168"/>
      <c r="H92" s="168"/>
      <c r="I92" s="168"/>
      <c r="J92" s="168"/>
      <c r="K92" s="168"/>
      <c r="L92" s="168"/>
      <c r="M92" s="168"/>
      <c r="N92" s="168"/>
      <c r="O92" s="173"/>
      <c r="P92" s="174"/>
      <c r="Q92" s="92"/>
      <c r="R92" s="93"/>
      <c r="S92" s="93"/>
      <c r="T92" s="93"/>
      <c r="U92" s="93"/>
      <c r="V92" s="109"/>
    </row>
    <row r="93" spans="1:22" ht="1.95" customHeight="1" x14ac:dyDescent="0.3">
      <c r="A93" s="166"/>
      <c r="B93" s="167"/>
      <c r="C93" s="168"/>
      <c r="D93" s="168"/>
      <c r="E93" s="168"/>
      <c r="F93" s="168"/>
      <c r="G93" s="168"/>
      <c r="H93" s="168"/>
      <c r="I93" s="168"/>
      <c r="J93" s="168"/>
      <c r="K93" s="168"/>
      <c r="L93" s="168"/>
      <c r="M93" s="168"/>
      <c r="N93" s="168"/>
      <c r="O93" s="173"/>
      <c r="P93" s="174"/>
      <c r="Q93" s="92"/>
      <c r="R93" s="93"/>
      <c r="S93" s="93"/>
      <c r="T93" s="93"/>
      <c r="U93" s="93"/>
      <c r="V93" s="109"/>
    </row>
    <row r="94" spans="1:22" ht="1.95" customHeight="1" x14ac:dyDescent="0.3">
      <c r="A94" s="166"/>
      <c r="B94" s="167"/>
      <c r="C94" s="168"/>
      <c r="D94" s="168"/>
      <c r="E94" s="168"/>
      <c r="F94" s="168"/>
      <c r="G94" s="168"/>
      <c r="H94" s="168"/>
      <c r="I94" s="168"/>
      <c r="J94" s="168"/>
      <c r="K94" s="168"/>
      <c r="L94" s="168"/>
      <c r="M94" s="168"/>
      <c r="N94" s="168"/>
      <c r="O94" s="173"/>
      <c r="P94" s="174"/>
      <c r="Q94" s="92"/>
      <c r="R94" s="93"/>
      <c r="S94" s="93"/>
      <c r="T94" s="93"/>
      <c r="U94" s="93"/>
      <c r="V94" s="109"/>
    </row>
    <row r="95" spans="1:22" ht="1.95" customHeight="1" x14ac:dyDescent="0.3">
      <c r="A95" s="166"/>
      <c r="B95" s="167"/>
      <c r="C95" s="168"/>
      <c r="D95" s="168"/>
      <c r="E95" s="168"/>
      <c r="F95" s="168"/>
      <c r="G95" s="168"/>
      <c r="H95" s="168"/>
      <c r="I95" s="168"/>
      <c r="J95" s="168"/>
      <c r="K95" s="168"/>
      <c r="L95" s="168"/>
      <c r="M95" s="168"/>
      <c r="N95" s="168"/>
      <c r="O95" s="173"/>
      <c r="P95" s="174"/>
      <c r="Q95" s="92"/>
      <c r="R95" s="93"/>
      <c r="S95" s="93"/>
      <c r="T95" s="93"/>
      <c r="U95" s="93"/>
      <c r="V95" s="109"/>
    </row>
    <row r="96" spans="1:22" ht="1.95" customHeight="1" x14ac:dyDescent="0.3">
      <c r="A96" s="166"/>
      <c r="B96" s="167"/>
      <c r="C96" s="169"/>
      <c r="D96" s="169"/>
      <c r="E96" s="169"/>
      <c r="F96" s="169"/>
      <c r="G96" s="169"/>
      <c r="H96" s="169"/>
      <c r="I96" s="169"/>
      <c r="J96" s="169"/>
      <c r="K96" s="169"/>
      <c r="L96" s="169"/>
      <c r="M96" s="169"/>
      <c r="N96" s="169"/>
      <c r="O96" s="173"/>
      <c r="P96" s="174"/>
      <c r="Q96" s="92"/>
      <c r="R96" s="93"/>
      <c r="S96" s="93"/>
      <c r="T96" s="93"/>
      <c r="U96" s="93"/>
      <c r="V96" s="109"/>
    </row>
    <row r="97" spans="1:22" ht="1.95" customHeight="1" x14ac:dyDescent="0.3">
      <c r="A97" s="166"/>
      <c r="B97" s="167"/>
      <c r="C97" s="169"/>
      <c r="D97" s="169"/>
      <c r="E97" s="169"/>
      <c r="F97" s="169"/>
      <c r="G97" s="169"/>
      <c r="H97" s="169"/>
      <c r="I97" s="169"/>
      <c r="J97" s="169"/>
      <c r="K97" s="169"/>
      <c r="L97" s="169"/>
      <c r="M97" s="169"/>
      <c r="N97" s="169"/>
      <c r="O97" s="173"/>
      <c r="P97" s="174"/>
      <c r="Q97" s="92"/>
      <c r="R97" s="93"/>
      <c r="S97" s="93"/>
      <c r="T97" s="93"/>
      <c r="U97" s="93"/>
      <c r="V97" s="109"/>
    </row>
    <row r="98" spans="1:22" ht="1.95" customHeight="1" x14ac:dyDescent="0.3">
      <c r="A98" s="166"/>
      <c r="B98" s="167"/>
      <c r="C98" s="169"/>
      <c r="D98" s="169"/>
      <c r="E98" s="169"/>
      <c r="F98" s="169"/>
      <c r="G98" s="169"/>
      <c r="H98" s="169"/>
      <c r="I98" s="169"/>
      <c r="J98" s="169"/>
      <c r="K98" s="169"/>
      <c r="L98" s="169"/>
      <c r="M98" s="169"/>
      <c r="N98" s="169"/>
      <c r="O98" s="173"/>
      <c r="P98" s="174"/>
      <c r="Q98" s="92"/>
      <c r="R98" s="93"/>
      <c r="S98" s="93"/>
      <c r="T98" s="93"/>
      <c r="U98" s="93"/>
      <c r="V98" s="109"/>
    </row>
    <row r="99" spans="1:22" ht="1.95" customHeight="1" x14ac:dyDescent="0.3">
      <c r="A99" s="166"/>
      <c r="B99" s="167"/>
      <c r="C99" s="169"/>
      <c r="D99" s="169"/>
      <c r="E99" s="169"/>
      <c r="F99" s="169"/>
      <c r="G99" s="169"/>
      <c r="H99" s="169"/>
      <c r="I99" s="169"/>
      <c r="J99" s="169"/>
      <c r="K99" s="169"/>
      <c r="L99" s="169"/>
      <c r="M99" s="169"/>
      <c r="N99" s="169"/>
      <c r="O99" s="173"/>
      <c r="P99" s="174"/>
      <c r="Q99" s="92"/>
      <c r="R99" s="93"/>
      <c r="S99" s="93"/>
      <c r="T99" s="93"/>
      <c r="U99" s="93"/>
      <c r="V99" s="109"/>
    </row>
    <row r="100" spans="1:22" ht="1.95" customHeight="1" x14ac:dyDescent="0.3">
      <c r="A100" s="166"/>
      <c r="B100" s="167"/>
      <c r="C100" s="169"/>
      <c r="D100" s="169"/>
      <c r="E100" s="169"/>
      <c r="F100" s="169"/>
      <c r="G100" s="169"/>
      <c r="H100" s="169"/>
      <c r="I100" s="169"/>
      <c r="J100" s="169"/>
      <c r="K100" s="169"/>
      <c r="L100" s="169"/>
      <c r="M100" s="169"/>
      <c r="N100" s="169"/>
      <c r="O100" s="173"/>
      <c r="P100" s="174"/>
      <c r="Q100" s="92"/>
      <c r="R100" s="93"/>
      <c r="S100" s="93"/>
      <c r="T100" s="93"/>
      <c r="U100" s="93"/>
      <c r="V100" s="109"/>
    </row>
    <row r="101" spans="1:22" ht="1.95" customHeight="1" x14ac:dyDescent="0.3">
      <c r="A101" s="166"/>
      <c r="B101" s="167"/>
      <c r="C101" s="169"/>
      <c r="D101" s="169"/>
      <c r="E101" s="169"/>
      <c r="F101" s="169"/>
      <c r="G101" s="169"/>
      <c r="H101" s="169"/>
      <c r="I101" s="169"/>
      <c r="J101" s="169"/>
      <c r="K101" s="169"/>
      <c r="L101" s="169"/>
      <c r="M101" s="169"/>
      <c r="N101" s="169"/>
      <c r="O101" s="173"/>
      <c r="P101" s="174"/>
      <c r="Q101" s="92"/>
      <c r="R101" s="93"/>
      <c r="S101" s="93"/>
      <c r="T101" s="93"/>
      <c r="U101" s="93"/>
      <c r="V101" s="109"/>
    </row>
    <row r="102" spans="1:22" ht="1.95" customHeight="1" x14ac:dyDescent="0.3">
      <c r="A102" s="166"/>
      <c r="B102" s="167"/>
      <c r="C102" s="169"/>
      <c r="D102" s="169"/>
      <c r="E102" s="169"/>
      <c r="F102" s="169"/>
      <c r="G102" s="169"/>
      <c r="H102" s="169"/>
      <c r="I102" s="169"/>
      <c r="J102" s="169"/>
      <c r="K102" s="169"/>
      <c r="L102" s="169"/>
      <c r="M102" s="169"/>
      <c r="N102" s="169"/>
      <c r="O102" s="173"/>
      <c r="P102" s="174"/>
      <c r="Q102" s="92"/>
      <c r="R102" s="93"/>
      <c r="S102" s="93"/>
      <c r="T102" s="93"/>
      <c r="U102" s="93"/>
      <c r="V102" s="109"/>
    </row>
    <row r="103" spans="1:22" ht="1.95" customHeight="1" x14ac:dyDescent="0.3">
      <c r="A103" s="166"/>
      <c r="B103" s="167"/>
      <c r="C103" s="169"/>
      <c r="D103" s="169"/>
      <c r="E103" s="169"/>
      <c r="F103" s="169"/>
      <c r="G103" s="169"/>
      <c r="H103" s="169"/>
      <c r="I103" s="169"/>
      <c r="J103" s="169"/>
      <c r="K103" s="169"/>
      <c r="L103" s="169"/>
      <c r="M103" s="169"/>
      <c r="N103" s="169"/>
      <c r="O103" s="173"/>
      <c r="P103" s="174"/>
      <c r="Q103" s="92"/>
      <c r="R103" s="93"/>
      <c r="S103" s="93"/>
      <c r="T103" s="93"/>
      <c r="U103" s="93"/>
      <c r="V103" s="109"/>
    </row>
    <row r="104" spans="1:22" ht="1.95" customHeight="1" x14ac:dyDescent="0.3">
      <c r="A104" s="166"/>
      <c r="B104" s="167"/>
      <c r="C104" s="169"/>
      <c r="D104" s="169"/>
      <c r="E104" s="169"/>
      <c r="F104" s="169"/>
      <c r="G104" s="169"/>
      <c r="H104" s="169"/>
      <c r="I104" s="169"/>
      <c r="J104" s="169"/>
      <c r="K104" s="169"/>
      <c r="L104" s="169"/>
      <c r="M104" s="169"/>
      <c r="N104" s="169"/>
      <c r="O104" s="173"/>
      <c r="P104" s="174"/>
      <c r="Q104" s="92"/>
      <c r="R104" s="93"/>
      <c r="S104" s="93"/>
      <c r="T104" s="93"/>
      <c r="U104" s="93"/>
      <c r="V104" s="109"/>
    </row>
    <row r="105" spans="1:22" ht="1.95" customHeight="1" x14ac:dyDescent="0.3">
      <c r="A105" s="166"/>
      <c r="B105" s="167"/>
      <c r="C105" s="169"/>
      <c r="D105" s="169"/>
      <c r="E105" s="169"/>
      <c r="F105" s="169"/>
      <c r="G105" s="169"/>
      <c r="H105" s="169"/>
      <c r="I105" s="169"/>
      <c r="J105" s="169"/>
      <c r="K105" s="169"/>
      <c r="L105" s="169"/>
      <c r="M105" s="169"/>
      <c r="N105" s="169"/>
      <c r="O105" s="173"/>
      <c r="P105" s="174"/>
      <c r="Q105" s="92"/>
      <c r="R105" s="93"/>
      <c r="S105" s="93"/>
      <c r="T105" s="93"/>
      <c r="U105" s="93"/>
      <c r="V105" s="109"/>
    </row>
    <row r="106" spans="1:22" ht="1.95" customHeight="1" x14ac:dyDescent="0.3">
      <c r="A106" s="166"/>
      <c r="B106" s="167"/>
      <c r="C106" s="169"/>
      <c r="D106" s="169"/>
      <c r="E106" s="169"/>
      <c r="F106" s="169"/>
      <c r="G106" s="169"/>
      <c r="H106" s="169"/>
      <c r="I106" s="169"/>
      <c r="J106" s="169"/>
      <c r="K106" s="169"/>
      <c r="L106" s="169"/>
      <c r="M106" s="169"/>
      <c r="N106" s="169"/>
      <c r="O106" s="173"/>
      <c r="P106" s="174"/>
      <c r="Q106" s="92"/>
      <c r="R106" s="93"/>
      <c r="S106" s="93"/>
      <c r="T106" s="93"/>
      <c r="U106" s="93"/>
      <c r="V106" s="109"/>
    </row>
    <row r="107" spans="1:22" ht="1.95" customHeight="1" x14ac:dyDescent="0.3">
      <c r="A107" s="166"/>
      <c r="B107" s="167"/>
      <c r="C107" s="169"/>
      <c r="D107" s="169"/>
      <c r="E107" s="169"/>
      <c r="F107" s="169"/>
      <c r="G107" s="169"/>
      <c r="H107" s="169"/>
      <c r="I107" s="169"/>
      <c r="J107" s="169"/>
      <c r="K107" s="169"/>
      <c r="L107" s="169"/>
      <c r="M107" s="169"/>
      <c r="N107" s="169"/>
      <c r="O107" s="173"/>
      <c r="P107" s="174"/>
      <c r="Q107" s="92"/>
      <c r="R107" s="93"/>
      <c r="S107" s="93"/>
      <c r="T107" s="93"/>
      <c r="U107" s="93"/>
      <c r="V107" s="109"/>
    </row>
    <row r="108" spans="1:22" ht="1.95" customHeight="1" x14ac:dyDescent="0.3">
      <c r="A108" s="166"/>
      <c r="B108" s="167"/>
      <c r="C108" s="169"/>
      <c r="D108" s="169"/>
      <c r="E108" s="169"/>
      <c r="F108" s="169"/>
      <c r="G108" s="169"/>
      <c r="H108" s="169"/>
      <c r="I108" s="169"/>
      <c r="J108" s="169"/>
      <c r="K108" s="169"/>
      <c r="L108" s="169"/>
      <c r="M108" s="169"/>
      <c r="N108" s="169"/>
      <c r="O108" s="173"/>
      <c r="P108" s="174"/>
      <c r="Q108" s="92"/>
      <c r="R108" s="93"/>
      <c r="S108" s="93"/>
      <c r="T108" s="93"/>
      <c r="U108" s="93"/>
      <c r="V108" s="109"/>
    </row>
    <row r="109" spans="1:22" ht="1.95" customHeight="1" x14ac:dyDescent="0.3">
      <c r="A109" s="166"/>
      <c r="B109" s="167"/>
      <c r="C109" s="169"/>
      <c r="D109" s="169"/>
      <c r="E109" s="169"/>
      <c r="F109" s="169"/>
      <c r="G109" s="169"/>
      <c r="H109" s="169"/>
      <c r="I109" s="169"/>
      <c r="J109" s="169"/>
      <c r="K109" s="169"/>
      <c r="L109" s="169"/>
      <c r="M109" s="169"/>
      <c r="N109" s="169"/>
      <c r="O109" s="173"/>
      <c r="P109" s="174"/>
      <c r="Q109" s="92"/>
      <c r="R109" s="93"/>
      <c r="S109" s="93"/>
      <c r="T109" s="93"/>
      <c r="U109" s="93"/>
      <c r="V109" s="109"/>
    </row>
    <row r="110" spans="1:22" ht="1.95" customHeight="1" x14ac:dyDescent="0.3">
      <c r="A110" s="166"/>
      <c r="B110" s="167"/>
      <c r="C110" s="169"/>
      <c r="D110" s="169"/>
      <c r="E110" s="169"/>
      <c r="F110" s="169"/>
      <c r="G110" s="169"/>
      <c r="H110" s="169"/>
      <c r="I110" s="169"/>
      <c r="J110" s="169"/>
      <c r="K110" s="169"/>
      <c r="L110" s="169"/>
      <c r="M110" s="169"/>
      <c r="N110" s="169"/>
      <c r="O110" s="173"/>
      <c r="P110" s="174"/>
      <c r="Q110" s="92"/>
      <c r="R110" s="93"/>
      <c r="S110" s="93"/>
      <c r="T110" s="93"/>
      <c r="U110" s="93"/>
      <c r="V110" s="109"/>
    </row>
    <row r="111" spans="1:22" ht="2.1" customHeight="1" thickBot="1" x14ac:dyDescent="0.35">
      <c r="A111" s="75"/>
      <c r="B111" s="63"/>
      <c r="C111" s="63"/>
      <c r="D111" s="63"/>
      <c r="E111" s="63"/>
      <c r="F111" s="63"/>
      <c r="G111" s="63"/>
      <c r="H111" s="63"/>
      <c r="I111" s="63"/>
      <c r="J111" s="63"/>
      <c r="K111" s="63"/>
      <c r="L111" s="63"/>
      <c r="M111" s="63"/>
      <c r="N111" s="63"/>
      <c r="O111" s="63"/>
      <c r="P111" s="63"/>
      <c r="Q111" s="92"/>
      <c r="R111" s="93"/>
      <c r="S111" s="93"/>
      <c r="T111" s="93"/>
      <c r="U111" s="93"/>
      <c r="V111" s="109"/>
    </row>
    <row r="112" spans="1:22" ht="15.6" customHeight="1" x14ac:dyDescent="0.3">
      <c r="A112" s="519" t="s">
        <v>5</v>
      </c>
      <c r="B112" s="520"/>
      <c r="C112" s="520"/>
      <c r="D112" s="520"/>
      <c r="E112" s="521"/>
      <c r="F112" s="513" t="str">
        <f>H20</f>
        <v/>
      </c>
      <c r="G112" s="514"/>
      <c r="H112" s="514"/>
      <c r="I112" s="514"/>
      <c r="J112" s="514"/>
      <c r="K112" s="514"/>
      <c r="L112" s="514"/>
      <c r="M112" s="514"/>
      <c r="N112" s="514"/>
      <c r="O112" s="514"/>
      <c r="P112" s="515"/>
      <c r="Q112" s="92"/>
      <c r="R112" s="93"/>
      <c r="S112" s="93"/>
      <c r="T112" s="93"/>
      <c r="U112" s="93"/>
      <c r="V112" s="105"/>
    </row>
    <row r="113" spans="1:22" ht="16.5" customHeight="1" thickBot="1" x14ac:dyDescent="0.35">
      <c r="A113" s="522"/>
      <c r="B113" s="523"/>
      <c r="C113" s="523"/>
      <c r="D113" s="523"/>
      <c r="E113" s="524"/>
      <c r="F113" s="516"/>
      <c r="G113" s="517"/>
      <c r="H113" s="517"/>
      <c r="I113" s="517"/>
      <c r="J113" s="517"/>
      <c r="K113" s="517"/>
      <c r="L113" s="517"/>
      <c r="M113" s="517"/>
      <c r="N113" s="517"/>
      <c r="O113" s="517"/>
      <c r="P113" s="518"/>
      <c r="Q113" s="92"/>
      <c r="R113" s="93"/>
      <c r="S113" s="93"/>
      <c r="T113" s="93"/>
      <c r="U113" s="93"/>
      <c r="V113" s="105"/>
    </row>
    <row r="114" spans="1:22" ht="29.4" thickBot="1" x14ac:dyDescent="0.35">
      <c r="A114" s="549" t="s">
        <v>6</v>
      </c>
      <c r="B114" s="550"/>
      <c r="C114" s="550"/>
      <c r="D114" s="551"/>
      <c r="E114" s="529" t="str" cm="1">
        <f t="array" ref="E114">IFERROR(INDEX('Helper Cells'!$Q:$Q,MATCH($D$20,'Helper Cells'!$O:$O,0)+IF($D$20=10,MATCH($I$14,'Helper Cells'!$B$29:$B$36,0),MATCH($I$13,'Helper Cells'!$A$29:$A$44,0))-1),"")</f>
        <v/>
      </c>
      <c r="F114" s="530"/>
      <c r="G114" s="496"/>
      <c r="H114" s="288"/>
      <c r="I114" s="552" t="s">
        <v>7</v>
      </c>
      <c r="J114" s="553"/>
      <c r="K114" s="554"/>
      <c r="L114" s="555"/>
      <c r="M114" s="556"/>
      <c r="N114" s="533"/>
      <c r="O114" s="287"/>
      <c r="P114" s="288"/>
      <c r="Q114" s="92"/>
      <c r="R114" s="93"/>
      <c r="S114" s="93"/>
      <c r="T114" s="93"/>
      <c r="U114" s="93"/>
      <c r="V114" s="105"/>
    </row>
    <row r="115" spans="1:22" hidden="1" x14ac:dyDescent="0.3">
      <c r="A115" s="76"/>
      <c r="B115" s="35"/>
      <c r="C115" s="35"/>
      <c r="D115" s="35"/>
      <c r="E115" s="36"/>
      <c r="F115" s="36" t="str" cm="1">
        <f t="array" ref="F115">IF(E114="","",INDEX($A$119:$P$119,MATCH(MIN(ABS($A$119:$P$119-E114)),ABS($A$119:$P$119-E114),0)))</f>
        <v/>
      </c>
      <c r="G115" s="35"/>
      <c r="H115" s="35"/>
      <c r="I115" s="35"/>
      <c r="J115" s="37"/>
      <c r="K115" s="37"/>
      <c r="L115" s="110"/>
      <c r="M115" s="110"/>
      <c r="N115" s="35"/>
      <c r="O115" s="35" t="str" cm="1">
        <f t="array" ref="O115">IF(L114="","",INDEX($A$119:$P$119,MATCH(MIN(ABS($A$119:$P$119-$L$114)),ABS($A$119:$P$119-$L$114),0)))</f>
        <v/>
      </c>
      <c r="P115" s="35"/>
      <c r="Q115" s="92"/>
      <c r="R115" s="93"/>
      <c r="S115" s="93"/>
      <c r="T115" s="93"/>
      <c r="U115" s="93"/>
      <c r="V115" s="105"/>
    </row>
    <row r="116" spans="1:22" ht="8.4" customHeight="1" x14ac:dyDescent="0.3">
      <c r="A116" s="534"/>
      <c r="B116" s="535"/>
      <c r="C116" s="535"/>
      <c r="D116" s="535"/>
      <c r="E116" s="535"/>
      <c r="F116" s="535"/>
      <c r="G116" s="535"/>
      <c r="H116" s="535"/>
      <c r="I116" s="535"/>
      <c r="J116" s="535"/>
      <c r="K116" s="535"/>
      <c r="L116" s="535"/>
      <c r="M116" s="535"/>
      <c r="N116" s="535"/>
      <c r="O116" s="535"/>
      <c r="P116" s="536"/>
      <c r="Q116" s="92"/>
      <c r="R116" s="93"/>
      <c r="S116" s="93"/>
      <c r="T116" s="93"/>
      <c r="U116" s="93"/>
      <c r="V116" s="105"/>
    </row>
    <row r="117" spans="1:22" x14ac:dyDescent="0.3">
      <c r="A117" s="497" t="s">
        <v>8</v>
      </c>
      <c r="B117" s="498"/>
      <c r="C117" s="498"/>
      <c r="D117" s="499"/>
      <c r="E117" s="540" t="s">
        <v>9</v>
      </c>
      <c r="F117" s="541"/>
      <c r="G117" s="541"/>
      <c r="H117" s="542"/>
      <c r="I117" s="543" t="s">
        <v>10</v>
      </c>
      <c r="J117" s="544"/>
      <c r="K117" s="544"/>
      <c r="L117" s="545"/>
      <c r="M117" s="546" t="s">
        <v>11</v>
      </c>
      <c r="N117" s="547"/>
      <c r="O117" s="547"/>
      <c r="P117" s="548"/>
      <c r="Q117" s="92"/>
      <c r="R117" s="93"/>
      <c r="S117" s="93"/>
      <c r="T117" s="93"/>
      <c r="U117" s="93"/>
      <c r="V117" s="105"/>
    </row>
    <row r="118" spans="1:22" s="1" customFormat="1" ht="42" customHeight="1" x14ac:dyDescent="0.3">
      <c r="A118" s="77" t="str">
        <f>IF(A119=$O$115,"Case:" &amp; CHAR(10) &amp; "1 in " &amp; A119,IF(A119=$F$115,"Nat. Avg:" &amp; CHAR(10) &amp; "1 in " &amp; A119,"1 in " &amp; A119))</f>
        <v>1 in 5000</v>
      </c>
      <c r="B118" s="38" t="str">
        <f t="shared" ref="B118:P118" si="0">IF(B119=$O$115,"Case:" &amp; CHAR(10) &amp; "1 in " &amp; B119,IF(B119=$F$115,"Nat. Avg:" &amp; CHAR(10) &amp; "1 in " &amp; B119,"1 in " &amp; B119))</f>
        <v>1 in 3000</v>
      </c>
      <c r="C118" s="38" t="str">
        <f t="shared" si="0"/>
        <v>1 in 2000</v>
      </c>
      <c r="D118" s="38" t="str">
        <f t="shared" si="0"/>
        <v>1 in 1000</v>
      </c>
      <c r="E118" s="68" t="str">
        <f t="shared" si="0"/>
        <v>1 in 500</v>
      </c>
      <c r="F118" s="68" t="str">
        <f t="shared" si="0"/>
        <v>1 in 300</v>
      </c>
      <c r="G118" s="68" t="str">
        <f t="shared" si="0"/>
        <v>1 in 200</v>
      </c>
      <c r="H118" s="68" t="str">
        <f t="shared" si="0"/>
        <v>1 in 100</v>
      </c>
      <c r="I118" s="69" t="str">
        <f t="shared" si="0"/>
        <v>1 in 50</v>
      </c>
      <c r="J118" s="69" t="str">
        <f t="shared" si="0"/>
        <v>1 in 30</v>
      </c>
      <c r="K118" s="69" t="str">
        <f t="shared" si="0"/>
        <v>1 in 20</v>
      </c>
      <c r="L118" s="69" t="str">
        <f t="shared" si="0"/>
        <v>1 in 10</v>
      </c>
      <c r="M118" s="70" t="str">
        <f t="shared" si="0"/>
        <v>1 in 5</v>
      </c>
      <c r="N118" s="70" t="str">
        <f t="shared" si="0"/>
        <v>1 in 3</v>
      </c>
      <c r="O118" s="70" t="str">
        <f t="shared" si="0"/>
        <v>1 in 2</v>
      </c>
      <c r="P118" s="83" t="str">
        <f t="shared" si="0"/>
        <v>1 in 1</v>
      </c>
      <c r="Q118" s="561" t="s">
        <v>699</v>
      </c>
      <c r="R118" s="562"/>
      <c r="S118" s="562"/>
      <c r="T118" s="562"/>
      <c r="U118" s="562"/>
      <c r="V118" s="563"/>
    </row>
    <row r="119" spans="1:22" hidden="1" x14ac:dyDescent="0.3">
      <c r="A119" s="76">
        <v>5000</v>
      </c>
      <c r="B119" s="35">
        <v>3000</v>
      </c>
      <c r="C119" s="35">
        <v>2000</v>
      </c>
      <c r="D119" s="35">
        <v>1000</v>
      </c>
      <c r="E119" s="35">
        <v>500</v>
      </c>
      <c r="F119" s="35">
        <v>300</v>
      </c>
      <c r="G119" s="35">
        <v>200</v>
      </c>
      <c r="H119" s="35">
        <v>100</v>
      </c>
      <c r="I119" s="35">
        <v>50</v>
      </c>
      <c r="J119" s="35">
        <v>30</v>
      </c>
      <c r="K119" s="35">
        <v>20</v>
      </c>
      <c r="L119" s="35">
        <v>10</v>
      </c>
      <c r="M119" s="35">
        <v>5</v>
      </c>
      <c r="N119" s="35">
        <v>3</v>
      </c>
      <c r="O119" s="35">
        <v>2</v>
      </c>
      <c r="P119" s="35">
        <v>1</v>
      </c>
      <c r="Q119" s="92"/>
      <c r="R119" s="93"/>
      <c r="S119" s="93"/>
      <c r="T119" s="93"/>
      <c r="U119" s="93"/>
      <c r="V119" s="105"/>
    </row>
    <row r="120" spans="1:22" hidden="1" x14ac:dyDescent="0.3">
      <c r="A120" s="76">
        <v>2.0000000000000001E-4</v>
      </c>
      <c r="B120" s="35">
        <v>3.3300000000000002E-4</v>
      </c>
      <c r="C120" s="35">
        <v>5.0000000000000001E-4</v>
      </c>
      <c r="D120" s="35">
        <v>1E-3</v>
      </c>
      <c r="E120" s="35">
        <v>2E-3</v>
      </c>
      <c r="F120" s="35">
        <v>3.333E-3</v>
      </c>
      <c r="G120" s="35">
        <v>5.0000000000000001E-3</v>
      </c>
      <c r="H120" s="35">
        <v>0.01</v>
      </c>
      <c r="I120" s="35">
        <v>0.02</v>
      </c>
      <c r="J120" s="35">
        <v>3.3333000000000002E-2</v>
      </c>
      <c r="K120" s="35">
        <v>0.05</v>
      </c>
      <c r="L120" s="35">
        <v>0.1</v>
      </c>
      <c r="M120" s="35">
        <v>0.2</v>
      </c>
      <c r="N120" s="35">
        <v>0.33333299999999999</v>
      </c>
      <c r="O120" s="35">
        <v>0.5</v>
      </c>
      <c r="P120" s="35">
        <v>1</v>
      </c>
      <c r="Q120" s="92"/>
      <c r="R120" s="93"/>
      <c r="S120" s="93"/>
      <c r="T120" s="93"/>
      <c r="U120" s="93"/>
      <c r="V120" s="105"/>
    </row>
    <row r="121" spans="1:22" ht="8.25" customHeight="1" thickBot="1" x14ac:dyDescent="0.35">
      <c r="A121" s="537"/>
      <c r="B121" s="538"/>
      <c r="C121" s="538"/>
      <c r="D121" s="538"/>
      <c r="E121" s="538"/>
      <c r="F121" s="538"/>
      <c r="G121" s="538"/>
      <c r="H121" s="538"/>
      <c r="I121" s="538"/>
      <c r="J121" s="538"/>
      <c r="K121" s="538"/>
      <c r="L121" s="538"/>
      <c r="M121" s="538"/>
      <c r="N121" s="538"/>
      <c r="O121" s="538"/>
      <c r="P121" s="539"/>
      <c r="Q121" s="92"/>
      <c r="R121" s="93"/>
      <c r="S121" s="93"/>
      <c r="T121" s="93"/>
      <c r="U121" s="93"/>
      <c r="V121" s="105"/>
    </row>
    <row r="122" spans="1:22" ht="15.6" customHeight="1" x14ac:dyDescent="0.3">
      <c r="A122" s="490" t="s">
        <v>340</v>
      </c>
      <c r="B122" s="491"/>
      <c r="C122" s="491"/>
      <c r="D122" s="491"/>
      <c r="E122" s="491"/>
      <c r="F122" s="491"/>
      <c r="G122" s="491"/>
      <c r="H122" s="491"/>
      <c r="I122" s="491"/>
      <c r="J122" s="491"/>
      <c r="K122" s="491"/>
      <c r="L122" s="491"/>
      <c r="M122" s="491"/>
      <c r="N122" s="491"/>
      <c r="O122" s="491"/>
      <c r="P122" s="492"/>
      <c r="Q122" s="92"/>
      <c r="R122" s="93"/>
      <c r="S122" s="93"/>
      <c r="T122" s="93"/>
      <c r="U122" s="93"/>
      <c r="V122" s="105"/>
    </row>
    <row r="123" spans="1:22" ht="16.2" customHeight="1" thickBot="1" x14ac:dyDescent="0.35">
      <c r="A123" s="493"/>
      <c r="B123" s="494"/>
      <c r="C123" s="494"/>
      <c r="D123" s="494"/>
      <c r="E123" s="494"/>
      <c r="F123" s="494"/>
      <c r="G123" s="494"/>
      <c r="H123" s="494"/>
      <c r="I123" s="494"/>
      <c r="J123" s="494"/>
      <c r="K123" s="494"/>
      <c r="L123" s="494"/>
      <c r="M123" s="494"/>
      <c r="N123" s="494"/>
      <c r="O123" s="494"/>
      <c r="P123" s="495"/>
      <c r="Q123" s="92"/>
      <c r="R123" s="93"/>
      <c r="S123" s="93"/>
      <c r="T123" s="93"/>
      <c r="U123" s="93"/>
      <c r="V123" s="105"/>
    </row>
    <row r="124" spans="1:22" x14ac:dyDescent="0.3">
      <c r="A124" s="361"/>
      <c r="B124" s="362"/>
      <c r="C124" s="362"/>
      <c r="D124" s="362"/>
      <c r="E124" s="362"/>
      <c r="F124" s="362"/>
      <c r="G124" s="362"/>
      <c r="H124" s="362"/>
      <c r="I124" s="362"/>
      <c r="J124" s="362"/>
      <c r="K124" s="362"/>
      <c r="L124" s="362"/>
      <c r="M124" s="362"/>
      <c r="N124" s="362"/>
      <c r="O124" s="362"/>
      <c r="P124" s="363"/>
      <c r="Q124" s="92"/>
      <c r="R124" s="93"/>
      <c r="S124" s="93"/>
      <c r="T124" s="93"/>
      <c r="U124" s="93"/>
      <c r="V124" s="105"/>
    </row>
    <row r="125" spans="1:22" x14ac:dyDescent="0.3">
      <c r="A125" s="364"/>
      <c r="B125" s="365"/>
      <c r="C125" s="365"/>
      <c r="D125" s="365"/>
      <c r="E125" s="365"/>
      <c r="F125" s="365"/>
      <c r="G125" s="365"/>
      <c r="H125" s="365"/>
      <c r="I125" s="365"/>
      <c r="J125" s="365"/>
      <c r="K125" s="365"/>
      <c r="L125" s="365"/>
      <c r="M125" s="365"/>
      <c r="N125" s="365"/>
      <c r="O125" s="365"/>
      <c r="P125" s="366"/>
      <c r="Q125" s="92"/>
      <c r="R125" s="93"/>
      <c r="S125" s="93"/>
      <c r="T125" s="93"/>
      <c r="U125" s="93"/>
      <c r="V125" s="105"/>
    </row>
    <row r="126" spans="1:22" x14ac:dyDescent="0.3">
      <c r="A126" s="364"/>
      <c r="B126" s="365"/>
      <c r="C126" s="365"/>
      <c r="D126" s="365"/>
      <c r="E126" s="365"/>
      <c r="F126" s="365"/>
      <c r="G126" s="365"/>
      <c r="H126" s="365"/>
      <c r="I126" s="365"/>
      <c r="J126" s="365"/>
      <c r="K126" s="365"/>
      <c r="L126" s="365"/>
      <c r="M126" s="365"/>
      <c r="N126" s="365"/>
      <c r="O126" s="365"/>
      <c r="P126" s="366"/>
      <c r="Q126" s="92"/>
      <c r="R126" s="93"/>
      <c r="S126" s="93"/>
      <c r="T126" s="93"/>
      <c r="U126" s="93"/>
      <c r="V126" s="105"/>
    </row>
    <row r="127" spans="1:22" x14ac:dyDescent="0.3">
      <c r="A127" s="364"/>
      <c r="B127" s="365"/>
      <c r="C127" s="365"/>
      <c r="D127" s="365"/>
      <c r="E127" s="365"/>
      <c r="F127" s="365"/>
      <c r="G127" s="365"/>
      <c r="H127" s="365"/>
      <c r="I127" s="365"/>
      <c r="J127" s="365"/>
      <c r="K127" s="365"/>
      <c r="L127" s="365"/>
      <c r="M127" s="365"/>
      <c r="N127" s="365"/>
      <c r="O127" s="365"/>
      <c r="P127" s="366"/>
      <c r="Q127" s="92"/>
      <c r="R127" s="93"/>
      <c r="S127" s="93"/>
      <c r="T127" s="93"/>
      <c r="U127" s="93"/>
      <c r="V127" s="105"/>
    </row>
    <row r="128" spans="1:22" x14ac:dyDescent="0.3">
      <c r="A128" s="364"/>
      <c r="B128" s="365"/>
      <c r="C128" s="365"/>
      <c r="D128" s="365"/>
      <c r="E128" s="365"/>
      <c r="F128" s="365"/>
      <c r="G128" s="365"/>
      <c r="H128" s="365"/>
      <c r="I128" s="365"/>
      <c r="J128" s="365"/>
      <c r="K128" s="365"/>
      <c r="L128" s="365"/>
      <c r="M128" s="365"/>
      <c r="N128" s="365"/>
      <c r="O128" s="365"/>
      <c r="P128" s="366"/>
      <c r="Q128" s="92"/>
      <c r="R128" s="93"/>
      <c r="S128" s="93"/>
      <c r="T128" s="93"/>
      <c r="U128" s="93"/>
      <c r="V128" s="105"/>
    </row>
    <row r="129" spans="1:22" x14ac:dyDescent="0.3">
      <c r="A129" s="364"/>
      <c r="B129" s="365"/>
      <c r="C129" s="365"/>
      <c r="D129" s="365"/>
      <c r="E129" s="365"/>
      <c r="F129" s="365"/>
      <c r="G129" s="365"/>
      <c r="H129" s="365"/>
      <c r="I129" s="365"/>
      <c r="J129" s="365"/>
      <c r="K129" s="365"/>
      <c r="L129" s="365"/>
      <c r="M129" s="365"/>
      <c r="N129" s="365"/>
      <c r="O129" s="365"/>
      <c r="P129" s="366"/>
      <c r="Q129" s="92"/>
      <c r="R129" s="93"/>
      <c r="S129" s="93"/>
      <c r="T129" s="93"/>
      <c r="U129" s="93"/>
      <c r="V129" s="105"/>
    </row>
    <row r="130" spans="1:22" x14ac:dyDescent="0.3">
      <c r="A130" s="364"/>
      <c r="B130" s="365"/>
      <c r="C130" s="365"/>
      <c r="D130" s="365"/>
      <c r="E130" s="365"/>
      <c r="F130" s="365"/>
      <c r="G130" s="365"/>
      <c r="H130" s="365"/>
      <c r="I130" s="365"/>
      <c r="J130" s="365"/>
      <c r="K130" s="365"/>
      <c r="L130" s="365"/>
      <c r="M130" s="365"/>
      <c r="N130" s="365"/>
      <c r="O130" s="365"/>
      <c r="P130" s="366"/>
      <c r="Q130" s="92"/>
      <c r="R130" s="93"/>
      <c r="S130" s="93"/>
      <c r="T130" s="93"/>
      <c r="U130" s="93"/>
      <c r="V130" s="105"/>
    </row>
    <row r="131" spans="1:22" x14ac:dyDescent="0.3">
      <c r="A131" s="364"/>
      <c r="B131" s="365"/>
      <c r="C131" s="365"/>
      <c r="D131" s="365"/>
      <c r="E131" s="365"/>
      <c r="F131" s="365"/>
      <c r="G131" s="365"/>
      <c r="H131" s="365"/>
      <c r="I131" s="365"/>
      <c r="J131" s="365"/>
      <c r="K131" s="365"/>
      <c r="L131" s="365"/>
      <c r="M131" s="365"/>
      <c r="N131" s="365"/>
      <c r="O131" s="365"/>
      <c r="P131" s="366"/>
      <c r="Q131" s="92"/>
      <c r="R131" s="93"/>
      <c r="S131" s="93"/>
      <c r="T131" s="93"/>
      <c r="U131" s="93"/>
      <c r="V131" s="105"/>
    </row>
    <row r="132" spans="1:22" ht="16.2" thickBot="1" x14ac:dyDescent="0.35">
      <c r="A132" s="367"/>
      <c r="B132" s="368"/>
      <c r="C132" s="368"/>
      <c r="D132" s="368"/>
      <c r="E132" s="368"/>
      <c r="F132" s="368"/>
      <c r="G132" s="368"/>
      <c r="H132" s="368"/>
      <c r="I132" s="368"/>
      <c r="J132" s="368"/>
      <c r="K132" s="368"/>
      <c r="L132" s="368"/>
      <c r="M132" s="368"/>
      <c r="N132" s="368"/>
      <c r="O132" s="368"/>
      <c r="P132" s="369"/>
      <c r="Q132" s="92"/>
      <c r="R132" s="93"/>
      <c r="S132" s="93"/>
      <c r="T132" s="93"/>
      <c r="U132" s="93"/>
      <c r="V132" s="105"/>
    </row>
    <row r="133" spans="1:22" ht="60.75" customHeight="1" x14ac:dyDescent="0.3">
      <c r="A133" s="487" t="s">
        <v>776</v>
      </c>
      <c r="B133" s="488"/>
      <c r="C133" s="488"/>
      <c r="D133" s="488"/>
      <c r="E133" s="488"/>
      <c r="F133" s="488"/>
      <c r="G133" s="488"/>
      <c r="H133" s="488"/>
      <c r="I133" s="488"/>
      <c r="J133" s="488"/>
      <c r="K133" s="488"/>
      <c r="L133" s="488"/>
      <c r="M133" s="488"/>
      <c r="N133" s="488"/>
      <c r="O133" s="488"/>
      <c r="P133" s="489"/>
      <c r="Q133" s="92"/>
      <c r="R133" s="93"/>
      <c r="S133" s="93"/>
      <c r="T133" s="93"/>
      <c r="U133" s="93"/>
      <c r="V133" s="105"/>
    </row>
    <row r="134" spans="1:22" ht="25.5" customHeight="1" x14ac:dyDescent="0.3">
      <c r="A134" s="557" t="s">
        <v>26</v>
      </c>
      <c r="B134" s="558"/>
      <c r="C134" s="558"/>
      <c r="D134" s="39"/>
      <c r="E134" s="72" t="s">
        <v>692</v>
      </c>
      <c r="F134" s="559" t="str" cm="1">
        <f t="array" ref="F134">IFERROR(INDEX('Helper Cells'!$R:$R,MATCH($D$20,'Helper Cells'!$O:$O,0)++IF($D$20=10,MATCH($I$14,'Helper Cells'!$B$29:$B$36,0),MATCH($I$13,'Helper Cells'!$A$29:$A$44,0))-1),"")</f>
        <v/>
      </c>
      <c r="G134" s="560"/>
      <c r="H134" s="71" t="s">
        <v>693</v>
      </c>
      <c r="I134" s="484" t="str" cm="1">
        <f t="array" ref="I134">IFERROR(INDEX('Helper Cells'!$S:$S,MATCH($D$20,'Helper Cells'!$O:$O,0)++IF($D$20=10,MATCH($I$14,'Helper Cells'!$B$29:$B$36,0),MATCH($I$13,'Helper Cells'!$A$29:$A$44,0))-1),"")</f>
        <v/>
      </c>
      <c r="J134" s="485"/>
      <c r="K134" s="71" t="s">
        <v>694</v>
      </c>
      <c r="L134" s="484" t="str" cm="1">
        <f t="array" ref="L134">IFERROR(INDEX('Helper Cells'!$T:$T,MATCH($D$20,'Helper Cells'!$O:$O,0)++IF($D$20=10,MATCH($I$14,'Helper Cells'!$B$29:$B$36,0),MATCH($I$13,'Helper Cells'!$A$29:$A$44,0))-1),"")</f>
        <v/>
      </c>
      <c r="M134" s="485"/>
      <c r="N134" s="71" t="s">
        <v>695</v>
      </c>
      <c r="O134" s="484" t="str" cm="1">
        <f t="array" ref="O134">IFERROR(INDEX('Helper Cells'!$U:$U,MATCH($D$20,'Helper Cells'!$O:$O,0)++IF($D$20=10,MATCH($I$14,'Helper Cells'!$B$29:$B$36,0),MATCH($I$13,'Helper Cells'!$A$29:$A$44,0))-1),"")</f>
        <v/>
      </c>
      <c r="P134" s="486"/>
      <c r="Q134" s="92"/>
      <c r="R134" s="93"/>
      <c r="S134" s="93"/>
      <c r="T134" s="93"/>
      <c r="U134" s="93"/>
      <c r="V134" s="105"/>
    </row>
    <row r="135" spans="1:22" hidden="1" x14ac:dyDescent="0.3">
      <c r="F135" t="str" cm="1">
        <f t="array" ref="F135">IF(F134="","",INDEX($143:$143,MATCH(MIN(ABS($143:$143-F134)),ABS($143:$143-F134),0)))</f>
        <v/>
      </c>
      <c r="I135" t="str" cm="1">
        <f t="array" ref="I135">IF(I134="","",INDEX($147:$147,MATCH(MIN(ABS($147:$147-I134)),ABS($147:$147-I134),0)))</f>
        <v/>
      </c>
      <c r="L135" t="str" cm="1">
        <f t="array" ref="L135">IF(L134="","",INDEX($151:$151,MATCH(MIN(ABS($151:$151-L134)),ABS($151:$151-L134),0)))</f>
        <v/>
      </c>
      <c r="O135" t="str" cm="1">
        <f t="array" ref="O135">IF(O134="","",INDEX(A155:K155,MATCH(MIN(ABS(A155:K155-O134)),ABS(A155:K155-O134),0)))</f>
        <v/>
      </c>
      <c r="Q135" s="92"/>
      <c r="R135" s="93"/>
      <c r="S135" s="93"/>
      <c r="T135" s="93"/>
      <c r="U135" s="93"/>
      <c r="V135" s="105"/>
    </row>
    <row r="136" spans="1:22" ht="8.25" customHeight="1" thickBot="1" x14ac:dyDescent="0.35">
      <c r="A136" s="140"/>
      <c r="B136" s="141"/>
      <c r="C136" s="141"/>
      <c r="D136" s="141"/>
      <c r="E136" s="141"/>
      <c r="F136" s="141"/>
      <c r="G136" s="141"/>
      <c r="H136" s="141"/>
      <c r="I136" s="141"/>
      <c r="J136" s="141"/>
      <c r="K136" s="141"/>
      <c r="L136" s="141"/>
      <c r="M136" s="141"/>
      <c r="N136" s="141"/>
      <c r="O136" s="141"/>
      <c r="P136" s="142"/>
      <c r="Q136" s="92"/>
      <c r="R136" s="93"/>
      <c r="S136" s="93"/>
      <c r="T136" s="93"/>
      <c r="U136" s="93"/>
      <c r="V136" s="105"/>
    </row>
    <row r="137" spans="1:22" ht="24.75" customHeight="1" thickTop="1" thickBot="1" x14ac:dyDescent="0.55000000000000004">
      <c r="A137" s="238" t="s">
        <v>86</v>
      </c>
      <c r="B137" s="239"/>
      <c r="C137" s="239"/>
      <c r="D137" s="240"/>
      <c r="E137" s="210" t="str" cm="1">
        <f t="array" ref="E137">IFERROR(INDEX('Helper Cells'!$V:$V,MATCH($D$20,'Helper Cells'!$O:$O,0)+IF($D$20=10,MATCH($I$14,'Helper Cells'!$P:$P,0),'Helper Cells'!$N$2)-1),"")</f>
        <v/>
      </c>
      <c r="F137" s="211"/>
      <c r="G137" s="531"/>
      <c r="H137" s="141"/>
      <c r="I137" s="532"/>
      <c r="J137" s="231" t="s">
        <v>84</v>
      </c>
      <c r="K137" s="232"/>
      <c r="L137" s="232"/>
      <c r="M137" s="232"/>
      <c r="N137" s="232"/>
      <c r="O137" s="111" t="s">
        <v>85</v>
      </c>
      <c r="P137" s="141"/>
      <c r="Q137" s="92"/>
      <c r="R137" s="93"/>
      <c r="S137" s="93"/>
      <c r="T137" s="93"/>
      <c r="U137" s="93"/>
      <c r="V137" s="105"/>
    </row>
    <row r="138" spans="1:22" ht="15.75" customHeight="1" thickTop="1" thickBot="1" x14ac:dyDescent="0.35">
      <c r="A138" s="140"/>
      <c r="B138" s="141"/>
      <c r="C138" s="141"/>
      <c r="D138" s="141"/>
      <c r="E138" s="141"/>
      <c r="F138" s="141"/>
      <c r="G138" s="141"/>
      <c r="H138" s="141"/>
      <c r="I138" s="142"/>
      <c r="J138" s="527" t="s">
        <v>83</v>
      </c>
      <c r="K138" s="528"/>
      <c r="L138" s="528"/>
      <c r="M138" s="528"/>
      <c r="N138" s="112" t="s">
        <v>85</v>
      </c>
      <c r="O138" s="113" t="s">
        <v>85</v>
      </c>
      <c r="P138" s="141"/>
      <c r="Q138" s="92"/>
      <c r="R138" s="93"/>
      <c r="S138" s="93"/>
      <c r="T138" s="93"/>
      <c r="U138" s="93"/>
      <c r="V138" s="105"/>
    </row>
    <row r="139" spans="1:22" ht="15.75" customHeight="1" thickTop="1" thickBot="1" x14ac:dyDescent="0.35">
      <c r="A139" s="140"/>
      <c r="B139" s="141"/>
      <c r="C139" s="141"/>
      <c r="D139" s="141"/>
      <c r="E139" s="141"/>
      <c r="F139" s="141"/>
      <c r="G139" s="141"/>
      <c r="H139" s="141"/>
      <c r="I139" s="142"/>
      <c r="J139" s="525" t="s">
        <v>82</v>
      </c>
      <c r="K139" s="526"/>
      <c r="L139" s="526"/>
      <c r="M139" s="114" t="s">
        <v>85</v>
      </c>
      <c r="N139" s="112" t="s">
        <v>85</v>
      </c>
      <c r="O139" s="113" t="s">
        <v>85</v>
      </c>
      <c r="P139" s="141"/>
      <c r="Q139" s="92"/>
      <c r="R139" s="93"/>
      <c r="S139" s="93"/>
      <c r="T139" s="93"/>
      <c r="U139" s="93"/>
      <c r="V139" s="105"/>
    </row>
    <row r="140" spans="1:22" ht="18" customHeight="1" thickTop="1" thickBot="1" x14ac:dyDescent="0.35">
      <c r="A140" s="236" t="s">
        <v>696</v>
      </c>
      <c r="B140" s="237"/>
      <c r="C140" s="246"/>
      <c r="D140" s="246"/>
      <c r="E140" s="246"/>
      <c r="F140" s="246"/>
      <c r="G140" s="246"/>
      <c r="H140" s="246"/>
      <c r="I140" s="246"/>
      <c r="J140" s="246"/>
      <c r="K140" s="246"/>
      <c r="L140" s="246"/>
      <c r="M140" s="246"/>
      <c r="N140" s="246"/>
      <c r="O140" s="246"/>
      <c r="P140" s="141"/>
      <c r="Q140" s="92"/>
      <c r="R140" s="93"/>
      <c r="S140" s="93"/>
      <c r="T140" s="93"/>
      <c r="U140" s="93"/>
      <c r="V140" s="105"/>
    </row>
    <row r="141" spans="1:22" s="50" customFormat="1" ht="21.9" customHeight="1" thickTop="1" thickBot="1" x14ac:dyDescent="0.35">
      <c r="A141" s="241" t="s">
        <v>76</v>
      </c>
      <c r="B141" s="242"/>
      <c r="C141" s="243" t="s">
        <v>77</v>
      </c>
      <c r="D141" s="244"/>
      <c r="E141" s="245"/>
      <c r="F141" s="390" t="s">
        <v>10</v>
      </c>
      <c r="G141" s="391"/>
      <c r="H141" s="392"/>
      <c r="I141" s="393" t="s">
        <v>11</v>
      </c>
      <c r="J141" s="394"/>
      <c r="K141" s="395"/>
      <c r="L141" s="359"/>
      <c r="M141" s="233" t="s">
        <v>692</v>
      </c>
      <c r="N141" s="234"/>
      <c r="O141" s="235"/>
      <c r="P141" s="141"/>
      <c r="Q141" s="92"/>
      <c r="R141" s="93"/>
      <c r="S141" s="93"/>
      <c r="T141" s="93"/>
      <c r="U141" s="93"/>
      <c r="V141" s="105"/>
    </row>
    <row r="142" spans="1:22" s="1" customFormat="1" ht="45" customHeight="1" thickTop="1" thickBot="1" x14ac:dyDescent="0.35">
      <c r="A142" s="115" t="str">
        <f>IF(AND($O$143&lt;&gt;"", A143=$O$143),"Case:" &amp; CHAR(10) &amp; A143 &amp; "%",IF(A143=$F$134,"Nat. Avg:" &amp; CHAR(10) &amp; A143 &amp; "%",A143 &amp; "%"))</f>
        <v>0%</v>
      </c>
      <c r="B142" s="116" t="str">
        <f t="shared" ref="B142:K142" si="1">IF(AND($O$143&lt;&gt;"", B143=$O$143),"Case:" &amp; CHAR(10) &amp; B143 &amp; "%",IF(B143=$F$134,"Nat. Avg:" &amp; CHAR(10) &amp; B143 &amp; "%",B143 &amp; "%"))</f>
        <v>0.1%</v>
      </c>
      <c r="C142" s="117" t="str">
        <f t="shared" si="1"/>
        <v>0.2%</v>
      </c>
      <c r="D142" s="117" t="str">
        <f t="shared" si="1"/>
        <v>0.5%</v>
      </c>
      <c r="E142" s="117" t="str">
        <f t="shared" si="1"/>
        <v>1%</v>
      </c>
      <c r="F142" s="118" t="str">
        <f t="shared" si="1"/>
        <v>2%</v>
      </c>
      <c r="G142" s="118" t="str">
        <f t="shared" si="1"/>
        <v>5%</v>
      </c>
      <c r="H142" s="118" t="str">
        <f t="shared" si="1"/>
        <v>10%</v>
      </c>
      <c r="I142" s="119" t="str">
        <f t="shared" si="1"/>
        <v>20%</v>
      </c>
      <c r="J142" s="119" t="str">
        <f t="shared" si="1"/>
        <v>30%</v>
      </c>
      <c r="K142" s="119" t="str">
        <f t="shared" si="1"/>
        <v>50%</v>
      </c>
      <c r="L142" s="359"/>
      <c r="M142" s="120" t="str">
        <f>F134</f>
        <v/>
      </c>
      <c r="N142" s="136"/>
      <c r="O142" s="44" t="str" cm="1">
        <f t="array" ref="O142">IF(N142="","",IF(N142="Remainder",(100-(O154+O146+O150)),IF(N142&gt;=51,N142,INDEX($A$143:$K$143,MATCH(MIN(ABS($A$143:$K$143-N142)),ABS($A$143:$K$143-N142),0)))))</f>
        <v/>
      </c>
      <c r="P142" s="141"/>
      <c r="Q142" s="564" t="s">
        <v>699</v>
      </c>
      <c r="R142" s="562"/>
      <c r="S142" s="562"/>
      <c r="T142" s="562"/>
      <c r="U142" s="562"/>
      <c r="V142" s="563"/>
    </row>
    <row r="143" spans="1:22" s="1" customFormat="1" ht="24" hidden="1" thickTop="1" x14ac:dyDescent="0.3">
      <c r="A143" s="121">
        <v>0</v>
      </c>
      <c r="B143" s="51">
        <v>0.1</v>
      </c>
      <c r="C143" s="51">
        <v>0.2</v>
      </c>
      <c r="D143" s="51">
        <v>0.5</v>
      </c>
      <c r="E143" s="51">
        <v>1</v>
      </c>
      <c r="F143" s="51">
        <v>2</v>
      </c>
      <c r="G143" s="51">
        <v>5</v>
      </c>
      <c r="H143" s="51">
        <v>10</v>
      </c>
      <c r="I143" s="51">
        <v>20</v>
      </c>
      <c r="J143" s="51">
        <v>30</v>
      </c>
      <c r="K143" s="51">
        <v>50</v>
      </c>
      <c r="L143" s="90"/>
      <c r="M143" s="122"/>
      <c r="N143" s="123"/>
      <c r="O143" s="40" t="str">
        <f>IF(N142="","",IF(O142&lt;50,O142,50))</f>
        <v/>
      </c>
      <c r="P143" s="141"/>
      <c r="Q143" s="92"/>
      <c r="R143" s="93"/>
      <c r="S143" s="93"/>
      <c r="T143" s="93"/>
      <c r="U143" s="93"/>
      <c r="V143" s="105"/>
    </row>
    <row r="144" spans="1:22" ht="18" customHeight="1" thickTop="1" thickBot="1" x14ac:dyDescent="0.35">
      <c r="A144" s="236" t="s">
        <v>697</v>
      </c>
      <c r="B144" s="237"/>
      <c r="C144" s="358"/>
      <c r="D144" s="358"/>
      <c r="E144" s="358"/>
      <c r="F144" s="358"/>
      <c r="G144" s="358"/>
      <c r="H144" s="358"/>
      <c r="I144" s="358"/>
      <c r="J144" s="358"/>
      <c r="K144" s="358"/>
      <c r="L144" s="358"/>
      <c r="M144" s="358"/>
      <c r="N144" s="358"/>
      <c r="O144" s="358"/>
      <c r="P144" s="141"/>
      <c r="Q144" s="92"/>
      <c r="R144" s="93"/>
      <c r="S144" s="93"/>
      <c r="T144" s="93"/>
      <c r="U144" s="93"/>
      <c r="V144" s="105"/>
    </row>
    <row r="145" spans="1:22" s="50" customFormat="1" ht="21.9" customHeight="1" thickTop="1" thickBot="1" x14ac:dyDescent="0.35">
      <c r="A145" s="241" t="s">
        <v>76</v>
      </c>
      <c r="B145" s="242"/>
      <c r="C145" s="243" t="s">
        <v>77</v>
      </c>
      <c r="D145" s="244"/>
      <c r="E145" s="245"/>
      <c r="F145" s="390" t="s">
        <v>10</v>
      </c>
      <c r="G145" s="391"/>
      <c r="H145" s="392"/>
      <c r="I145" s="393" t="s">
        <v>11</v>
      </c>
      <c r="J145" s="394"/>
      <c r="K145" s="395"/>
      <c r="L145" s="359"/>
      <c r="M145" s="233" t="s">
        <v>693</v>
      </c>
      <c r="N145" s="234"/>
      <c r="O145" s="235"/>
      <c r="P145" s="141"/>
      <c r="Q145" s="92"/>
      <c r="R145" s="93"/>
      <c r="S145" s="93"/>
      <c r="T145" s="93"/>
      <c r="U145" s="93"/>
      <c r="V145" s="105"/>
    </row>
    <row r="146" spans="1:22" s="51" customFormat="1" ht="45" customHeight="1" thickTop="1" thickBot="1" x14ac:dyDescent="0.35">
      <c r="A146" s="124" t="str">
        <f>IF(AND($O$147&lt;&gt;"", A147=$O$147),"Case:" &amp; CHAR(10) &amp; A147 &amp; "%",IF(A147=$I$134,"Nat. Avg:" &amp; CHAR(10) &amp; A147 &amp; "%",A147 &amp; "%"))</f>
        <v>0%</v>
      </c>
      <c r="B146" s="125" t="str">
        <f t="shared" ref="B146:K146" si="2">IF(AND($O$147&lt;&gt;"", B147=$O$147),"Case:" &amp; CHAR(10) &amp; B147 &amp; "%",IF(B147=$I$134,"Nat. Avg:" &amp; CHAR(10) &amp; B147 &amp; "%",B147 &amp; "%"))</f>
        <v>0.1%</v>
      </c>
      <c r="C146" s="126" t="str">
        <f t="shared" si="2"/>
        <v>0.2%</v>
      </c>
      <c r="D146" s="126" t="str">
        <f t="shared" si="2"/>
        <v>0.5%</v>
      </c>
      <c r="E146" s="126" t="str">
        <f t="shared" si="2"/>
        <v>1%</v>
      </c>
      <c r="F146" s="127" t="str">
        <f t="shared" si="2"/>
        <v>2%</v>
      </c>
      <c r="G146" s="127" t="str">
        <f t="shared" si="2"/>
        <v>5%</v>
      </c>
      <c r="H146" s="127" t="str">
        <f t="shared" si="2"/>
        <v>10%</v>
      </c>
      <c r="I146" s="128" t="str">
        <f t="shared" si="2"/>
        <v>20%</v>
      </c>
      <c r="J146" s="128" t="str">
        <f t="shared" si="2"/>
        <v>30%</v>
      </c>
      <c r="K146" s="128" t="str">
        <f t="shared" si="2"/>
        <v>50%</v>
      </c>
      <c r="L146" s="359"/>
      <c r="M146" s="129" t="str">
        <f>I134</f>
        <v/>
      </c>
      <c r="N146" s="46"/>
      <c r="O146" s="45" t="str" cm="1">
        <f t="array" ref="O146">IF(N146="","",IF(N146="Remainder",(100-(O142+O154+O150)),IF(N146&gt;=51,N146,INDEX($A$147:$K$147,MATCH(MIN(ABS($A$147:$K$147-N146)),ABS($A$147:$K$147-N146),0)))))</f>
        <v/>
      </c>
      <c r="P146" s="141"/>
      <c r="Q146" s="564" t="s">
        <v>699</v>
      </c>
      <c r="R146" s="562"/>
      <c r="S146" s="562"/>
      <c r="T146" s="562"/>
      <c r="U146" s="562"/>
      <c r="V146" s="563"/>
    </row>
    <row r="147" spans="1:22" s="1" customFormat="1" ht="24" hidden="1" thickTop="1" x14ac:dyDescent="0.3">
      <c r="A147" s="121">
        <v>0</v>
      </c>
      <c r="B147" s="51">
        <v>0.1</v>
      </c>
      <c r="C147" s="51">
        <v>0.2</v>
      </c>
      <c r="D147" s="51">
        <v>0.5</v>
      </c>
      <c r="E147" s="51">
        <v>1</v>
      </c>
      <c r="F147" s="51">
        <v>2</v>
      </c>
      <c r="G147" s="51">
        <v>5</v>
      </c>
      <c r="H147" s="51">
        <v>10</v>
      </c>
      <c r="I147" s="51">
        <v>20</v>
      </c>
      <c r="J147" s="51">
        <v>30</v>
      </c>
      <c r="K147" s="51">
        <v>50</v>
      </c>
      <c r="L147" s="90"/>
      <c r="M147" s="122"/>
      <c r="N147" s="123"/>
      <c r="O147" s="40" t="str">
        <f>IF(N146="","",IF(O146&lt;50,O146,50))</f>
        <v/>
      </c>
      <c r="P147" s="141"/>
      <c r="Q147" s="92"/>
      <c r="R147" s="93"/>
      <c r="S147" s="93"/>
      <c r="T147" s="93"/>
      <c r="U147" s="93"/>
      <c r="V147" s="105"/>
    </row>
    <row r="148" spans="1:22" ht="18" customHeight="1" thickTop="1" thickBot="1" x14ac:dyDescent="0.35">
      <c r="A148" s="236" t="s">
        <v>698</v>
      </c>
      <c r="B148" s="237"/>
      <c r="C148" s="360"/>
      <c r="D148" s="360"/>
      <c r="E148" s="360"/>
      <c r="F148" s="360"/>
      <c r="G148" s="360"/>
      <c r="H148" s="360"/>
      <c r="I148" s="360"/>
      <c r="J148" s="360"/>
      <c r="K148" s="360"/>
      <c r="L148" s="360"/>
      <c r="M148" s="360"/>
      <c r="N148" s="360"/>
      <c r="O148" s="360"/>
      <c r="P148" s="141"/>
      <c r="Q148" s="92"/>
      <c r="R148" s="93"/>
      <c r="S148" s="93"/>
      <c r="T148" s="93"/>
      <c r="U148" s="93"/>
      <c r="V148" s="105"/>
    </row>
    <row r="149" spans="1:22" s="50" customFormat="1" ht="21.9" customHeight="1" thickTop="1" thickBot="1" x14ac:dyDescent="0.35">
      <c r="A149" s="241" t="s">
        <v>76</v>
      </c>
      <c r="B149" s="242"/>
      <c r="C149" s="243" t="s">
        <v>77</v>
      </c>
      <c r="D149" s="244"/>
      <c r="E149" s="245"/>
      <c r="F149" s="370" t="s">
        <v>10</v>
      </c>
      <c r="G149" s="371"/>
      <c r="H149" s="372"/>
      <c r="I149" s="393" t="s">
        <v>11</v>
      </c>
      <c r="J149" s="394"/>
      <c r="K149" s="395"/>
      <c r="L149" s="359"/>
      <c r="M149" s="233" t="s">
        <v>694</v>
      </c>
      <c r="N149" s="234"/>
      <c r="O149" s="235"/>
      <c r="P149" s="141"/>
      <c r="Q149" s="92"/>
      <c r="R149" s="93"/>
      <c r="S149" s="93"/>
      <c r="T149" s="93"/>
      <c r="U149" s="93"/>
      <c r="V149" s="105"/>
    </row>
    <row r="150" spans="1:22" s="1" customFormat="1" ht="45" customHeight="1" thickTop="1" thickBot="1" x14ac:dyDescent="0.35">
      <c r="A150" s="124" t="str">
        <f>IF(AND($O$151&lt;&gt;"", A151=$O$151),"Case:" &amp; CHAR(10) &amp; A151 &amp; "%",IF(A151=$L$134,"Nat. Avg:" &amp; CHAR(10) &amp; A151 &amp; "%",A151 &amp; "%"))</f>
        <v>0%</v>
      </c>
      <c r="B150" s="125" t="str">
        <f t="shared" ref="B150:K150" si="3">IF(AND($O$151&lt;&gt;"", B151=$O$151),"Case:" &amp; CHAR(10) &amp; B151 &amp; "%",IF(B151=$L$134,"Nat. Avg:" &amp; CHAR(10) &amp; B151 &amp; "%",B151 &amp; "%"))</f>
        <v>0.1%</v>
      </c>
      <c r="C150" s="126" t="str">
        <f t="shared" si="3"/>
        <v>0.2%</v>
      </c>
      <c r="D150" s="126" t="str">
        <f t="shared" si="3"/>
        <v>0.5%</v>
      </c>
      <c r="E150" s="126" t="str">
        <f t="shared" si="3"/>
        <v>1%</v>
      </c>
      <c r="F150" s="127" t="str">
        <f t="shared" si="3"/>
        <v>2%</v>
      </c>
      <c r="G150" s="127" t="str">
        <f t="shared" si="3"/>
        <v>5%</v>
      </c>
      <c r="H150" s="127" t="str">
        <f t="shared" si="3"/>
        <v>10%</v>
      </c>
      <c r="I150" s="128" t="str">
        <f t="shared" si="3"/>
        <v>20%</v>
      </c>
      <c r="J150" s="128" t="str">
        <f t="shared" si="3"/>
        <v>30%</v>
      </c>
      <c r="K150" s="128" t="str">
        <f t="shared" si="3"/>
        <v>50%</v>
      </c>
      <c r="L150" s="359"/>
      <c r="M150" s="130" t="str">
        <f>L134</f>
        <v/>
      </c>
      <c r="N150" s="46"/>
      <c r="O150" s="45" t="str" cm="1">
        <f t="array" ref="O150">IF(N150="","",IF(N150="Remainder",(100-(O142+O146+O154)),IF(N150&gt;=51,N150,INDEX($A$151:$K$151,MATCH(MIN(ABS($A$151:$K$151-N150)),ABS($A$151:$K$151-N150),0)))))</f>
        <v/>
      </c>
      <c r="P150" s="141"/>
      <c r="Q150" s="564" t="s">
        <v>699</v>
      </c>
      <c r="R150" s="562"/>
      <c r="S150" s="562"/>
      <c r="T150" s="562"/>
      <c r="U150" s="562"/>
      <c r="V150" s="563"/>
    </row>
    <row r="151" spans="1:22" s="1" customFormat="1" ht="23.4" hidden="1" x14ac:dyDescent="0.3">
      <c r="A151" s="121">
        <v>0</v>
      </c>
      <c r="B151" s="51">
        <v>0.1</v>
      </c>
      <c r="C151" s="51">
        <v>0.2</v>
      </c>
      <c r="D151" s="51">
        <v>0.5</v>
      </c>
      <c r="E151" s="51">
        <v>1</v>
      </c>
      <c r="F151" s="51">
        <v>2</v>
      </c>
      <c r="G151" s="51">
        <v>5</v>
      </c>
      <c r="H151" s="51">
        <v>10</v>
      </c>
      <c r="I151" s="51">
        <v>20</v>
      </c>
      <c r="J151" s="51">
        <v>30</v>
      </c>
      <c r="K151" s="51">
        <v>50</v>
      </c>
      <c r="L151" s="90"/>
      <c r="M151" s="122"/>
      <c r="N151" s="123"/>
      <c r="O151" s="40" t="str">
        <f>IF(N150="","",IF(O150&lt;50, O150, 50))</f>
        <v/>
      </c>
      <c r="P151" s="141"/>
      <c r="Q151" s="92"/>
      <c r="R151" s="93"/>
      <c r="S151" s="93"/>
      <c r="T151" s="93"/>
      <c r="U151" s="93"/>
      <c r="V151" s="105"/>
    </row>
    <row r="152" spans="1:22" ht="18" customHeight="1" thickTop="1" thickBot="1" x14ac:dyDescent="0.35">
      <c r="A152" s="236" t="s">
        <v>770</v>
      </c>
      <c r="B152" s="237"/>
      <c r="C152" s="360"/>
      <c r="D152" s="360"/>
      <c r="E152" s="360"/>
      <c r="F152" s="360"/>
      <c r="G152" s="360"/>
      <c r="H152" s="360"/>
      <c r="I152" s="360"/>
      <c r="J152" s="360"/>
      <c r="K152" s="360"/>
      <c r="L152" s="360"/>
      <c r="M152" s="360"/>
      <c r="N152" s="360"/>
      <c r="O152" s="360"/>
      <c r="P152" s="141"/>
      <c r="Q152" s="92"/>
      <c r="R152" s="93"/>
      <c r="S152" s="93"/>
      <c r="T152" s="93"/>
      <c r="U152" s="93"/>
      <c r="V152" s="105"/>
    </row>
    <row r="153" spans="1:22" s="50" customFormat="1" ht="21.9" customHeight="1" thickTop="1" thickBot="1" x14ac:dyDescent="0.35">
      <c r="A153" s="241" t="s">
        <v>76</v>
      </c>
      <c r="B153" s="242"/>
      <c r="C153" s="243" t="s">
        <v>77</v>
      </c>
      <c r="D153" s="244"/>
      <c r="E153" s="245"/>
      <c r="F153" s="370" t="s">
        <v>10</v>
      </c>
      <c r="G153" s="371"/>
      <c r="H153" s="372"/>
      <c r="I153" s="393" t="s">
        <v>11</v>
      </c>
      <c r="J153" s="394"/>
      <c r="K153" s="395"/>
      <c r="L153" s="359"/>
      <c r="M153" s="233" t="s">
        <v>695</v>
      </c>
      <c r="N153" s="234"/>
      <c r="O153" s="235"/>
      <c r="P153" s="141"/>
      <c r="Q153" s="92"/>
      <c r="R153" s="93"/>
      <c r="S153" s="93"/>
      <c r="T153" s="93"/>
      <c r="U153" s="93"/>
      <c r="V153" s="105"/>
    </row>
    <row r="154" spans="1:22" s="51" customFormat="1" ht="45" customHeight="1" thickTop="1" thickBot="1" x14ac:dyDescent="0.35">
      <c r="A154" s="124" t="str">
        <f>IF(AND($O$155&lt;&gt;"", A155=$O$155),"Case:" &amp; CHAR(10) &amp; A155 &amp; "%",IF(A155=$O$134,"Nat. Avg:" &amp; CHAR(10) &amp; A155 &amp; "%",A155 &amp; "%"))</f>
        <v>0%</v>
      </c>
      <c r="B154" s="125" t="str">
        <f t="shared" ref="B154:K154" si="4">IF(B155=$O$155,"Case:" &amp; CHAR(10) &amp; B155 &amp; "%",IF(B155=$O$135,"Nat. Avg:" &amp; CHAR(10) &amp; B155 &amp; "%",B155 &amp; "%"))</f>
        <v>0.1%</v>
      </c>
      <c r="C154" s="126" t="str">
        <f t="shared" si="4"/>
        <v>0.2%</v>
      </c>
      <c r="D154" s="126" t="str">
        <f t="shared" si="4"/>
        <v>0.5%</v>
      </c>
      <c r="E154" s="126" t="str">
        <f t="shared" si="4"/>
        <v>1%</v>
      </c>
      <c r="F154" s="127" t="str">
        <f t="shared" si="4"/>
        <v>2%</v>
      </c>
      <c r="G154" s="127" t="str">
        <f t="shared" si="4"/>
        <v>5%</v>
      </c>
      <c r="H154" s="127" t="str">
        <f t="shared" si="4"/>
        <v>10%</v>
      </c>
      <c r="I154" s="128" t="str">
        <f t="shared" si="4"/>
        <v>20%</v>
      </c>
      <c r="J154" s="128" t="str">
        <f t="shared" si="4"/>
        <v>30%</v>
      </c>
      <c r="K154" s="128" t="str">
        <f t="shared" si="4"/>
        <v>50%</v>
      </c>
      <c r="L154" s="359"/>
      <c r="M154" s="131" t="str">
        <f>O134</f>
        <v/>
      </c>
      <c r="N154" s="136"/>
      <c r="O154" s="44" t="str" cm="1">
        <f t="array" ref="O154">IF(N154="","",IF(N154="Remainder",(100-(O142+O146+O150)),IF(N154&gt;=51,N154,INDEX($A$155:$K$155,MATCH(MIN(ABS($A$155:$K$155-N150)),ABS($A$155:$K$155-N154),0)))))</f>
        <v/>
      </c>
      <c r="P154" s="141"/>
      <c r="Q154" s="564" t="s">
        <v>699</v>
      </c>
      <c r="R154" s="562"/>
      <c r="S154" s="562"/>
      <c r="T154" s="562"/>
      <c r="U154" s="562"/>
      <c r="V154" s="563"/>
    </row>
    <row r="155" spans="1:22" ht="16.2" hidden="1" thickTop="1" x14ac:dyDescent="0.3">
      <c r="A155" s="79">
        <v>0</v>
      </c>
      <c r="B155" s="41">
        <v>0.1</v>
      </c>
      <c r="C155" s="41">
        <v>0.2</v>
      </c>
      <c r="D155" s="41">
        <v>0.5</v>
      </c>
      <c r="E155" s="41">
        <v>1</v>
      </c>
      <c r="F155" s="41">
        <v>2</v>
      </c>
      <c r="G155" s="41">
        <v>5</v>
      </c>
      <c r="H155" s="41">
        <v>10</v>
      </c>
      <c r="I155" s="41">
        <v>20</v>
      </c>
      <c r="J155" s="41">
        <v>30</v>
      </c>
      <c r="K155" s="41">
        <v>50</v>
      </c>
      <c r="L155" s="93"/>
      <c r="N155" s="42"/>
      <c r="O155" s="42" t="str" cm="1">
        <f t="array" ref="O155">IF(N154="","",INDEX(A155:K155,MATCH(MIN(ABS(A155:K155-O154)),ABS(A155:K155-O154),0)))</f>
        <v/>
      </c>
      <c r="P155" s="33"/>
      <c r="Q155" s="92"/>
      <c r="R155" s="93"/>
      <c r="S155" s="93"/>
      <c r="T155" s="93"/>
      <c r="U155" s="93"/>
      <c r="V155" s="105"/>
    </row>
    <row r="156" spans="1:22" ht="8.25" customHeight="1" thickTop="1" thickBot="1" x14ac:dyDescent="0.35">
      <c r="A156" s="291"/>
      <c r="B156" s="292"/>
      <c r="C156" s="292"/>
      <c r="D156" s="292"/>
      <c r="E156" s="292"/>
      <c r="F156" s="292"/>
      <c r="G156" s="292"/>
      <c r="H156" s="292"/>
      <c r="I156" s="292"/>
      <c r="J156" s="292"/>
      <c r="K156" s="292"/>
      <c r="L156" s="292"/>
      <c r="M156" s="292"/>
      <c r="N156" s="292"/>
      <c r="O156" s="292"/>
      <c r="P156" s="293"/>
      <c r="Q156" s="92"/>
      <c r="R156" s="93"/>
      <c r="S156" s="93"/>
      <c r="T156" s="93"/>
      <c r="U156" s="93"/>
      <c r="V156" s="105"/>
    </row>
    <row r="157" spans="1:22" s="52" customFormat="1" ht="14.1" customHeight="1" x14ac:dyDescent="0.3">
      <c r="A157" s="379" t="s">
        <v>328</v>
      </c>
      <c r="B157" s="380"/>
      <c r="C157" s="380"/>
      <c r="D157" s="380"/>
      <c r="E157" s="380"/>
      <c r="F157" s="380"/>
      <c r="G157" s="380"/>
      <c r="H157" s="380"/>
      <c r="I157" s="380"/>
      <c r="J157" s="380"/>
      <c r="K157" s="380"/>
      <c r="L157" s="380"/>
      <c r="M157" s="380"/>
      <c r="N157" s="380"/>
      <c r="O157" s="380"/>
      <c r="P157" s="381"/>
      <c r="Q157" s="92"/>
      <c r="R157" s="93"/>
      <c r="S157" s="93"/>
      <c r="T157" s="93"/>
      <c r="U157" s="93"/>
      <c r="V157" s="105"/>
    </row>
    <row r="158" spans="1:22" s="52" customFormat="1" ht="14.1" customHeight="1" thickBot="1" x14ac:dyDescent="0.35">
      <c r="A158" s="382"/>
      <c r="B158" s="383"/>
      <c r="C158" s="383"/>
      <c r="D158" s="383"/>
      <c r="E158" s="383"/>
      <c r="F158" s="383"/>
      <c r="G158" s="383"/>
      <c r="H158" s="383"/>
      <c r="I158" s="383"/>
      <c r="J158" s="383"/>
      <c r="K158" s="383"/>
      <c r="L158" s="383"/>
      <c r="M158" s="383"/>
      <c r="N158" s="383"/>
      <c r="O158" s="383"/>
      <c r="P158" s="384"/>
      <c r="Q158" s="92"/>
      <c r="R158" s="93"/>
      <c r="S158" s="93"/>
      <c r="T158" s="93"/>
      <c r="U158" s="93"/>
      <c r="V158" s="105"/>
    </row>
    <row r="159" spans="1:22" s="52" customFormat="1" ht="14.1" customHeight="1" x14ac:dyDescent="0.3">
      <c r="A159" s="361"/>
      <c r="B159" s="362"/>
      <c r="C159" s="362"/>
      <c r="D159" s="362"/>
      <c r="E159" s="362"/>
      <c r="F159" s="362"/>
      <c r="G159" s="362"/>
      <c r="H159" s="362"/>
      <c r="I159" s="362"/>
      <c r="J159" s="362"/>
      <c r="K159" s="362"/>
      <c r="L159" s="362"/>
      <c r="M159" s="362"/>
      <c r="N159" s="362"/>
      <c r="O159" s="362"/>
      <c r="P159" s="363"/>
      <c r="Q159" s="92"/>
      <c r="R159" s="93"/>
      <c r="S159" s="93"/>
      <c r="T159" s="93"/>
      <c r="U159" s="93"/>
      <c r="V159" s="105"/>
    </row>
    <row r="160" spans="1:22" s="52" customFormat="1" ht="14.1" customHeight="1" x14ac:dyDescent="0.3">
      <c r="A160" s="364"/>
      <c r="B160" s="365"/>
      <c r="C160" s="365"/>
      <c r="D160" s="365"/>
      <c r="E160" s="365"/>
      <c r="F160" s="365"/>
      <c r="G160" s="365"/>
      <c r="H160" s="365"/>
      <c r="I160" s="365"/>
      <c r="J160" s="365"/>
      <c r="K160" s="365"/>
      <c r="L160" s="365"/>
      <c r="M160" s="365"/>
      <c r="N160" s="365"/>
      <c r="O160" s="365"/>
      <c r="P160" s="366"/>
      <c r="Q160" s="92"/>
      <c r="R160" s="93"/>
      <c r="S160" s="93"/>
      <c r="T160" s="93"/>
      <c r="U160" s="93"/>
      <c r="V160" s="105"/>
    </row>
    <row r="161" spans="1:22" s="52" customFormat="1" ht="14.1" customHeight="1" x14ac:dyDescent="0.3">
      <c r="A161" s="364"/>
      <c r="B161" s="365"/>
      <c r="C161" s="365"/>
      <c r="D161" s="365"/>
      <c r="E161" s="365"/>
      <c r="F161" s="365"/>
      <c r="G161" s="365"/>
      <c r="H161" s="365"/>
      <c r="I161" s="365"/>
      <c r="J161" s="365"/>
      <c r="K161" s="365"/>
      <c r="L161" s="365"/>
      <c r="M161" s="365"/>
      <c r="N161" s="365"/>
      <c r="O161" s="365"/>
      <c r="P161" s="366"/>
      <c r="Q161" s="92"/>
      <c r="R161" s="93"/>
      <c r="S161" s="93"/>
      <c r="T161" s="93"/>
      <c r="U161" s="93"/>
      <c r="V161" s="105"/>
    </row>
    <row r="162" spans="1:22" s="52" customFormat="1" ht="16.5" customHeight="1" x14ac:dyDescent="0.3">
      <c r="A162" s="364"/>
      <c r="B162" s="365"/>
      <c r="C162" s="365"/>
      <c r="D162" s="365"/>
      <c r="E162" s="365"/>
      <c r="F162" s="365"/>
      <c r="G162" s="365"/>
      <c r="H162" s="365"/>
      <c r="I162" s="365"/>
      <c r="J162" s="365"/>
      <c r="K162" s="365"/>
      <c r="L162" s="365"/>
      <c r="M162" s="365"/>
      <c r="N162" s="365"/>
      <c r="O162" s="365"/>
      <c r="P162" s="366"/>
      <c r="Q162" s="92"/>
      <c r="R162" s="93"/>
      <c r="S162" s="93"/>
      <c r="T162" s="93"/>
      <c r="U162" s="93"/>
      <c r="V162" s="105"/>
    </row>
    <row r="163" spans="1:22" s="52" customFormat="1" ht="16.5" customHeight="1" x14ac:dyDescent="0.3">
      <c r="A163" s="364"/>
      <c r="B163" s="365"/>
      <c r="C163" s="365"/>
      <c r="D163" s="365"/>
      <c r="E163" s="365"/>
      <c r="F163" s="365"/>
      <c r="G163" s="365"/>
      <c r="H163" s="365"/>
      <c r="I163" s="365"/>
      <c r="J163" s="365"/>
      <c r="K163" s="365"/>
      <c r="L163" s="365"/>
      <c r="M163" s="365"/>
      <c r="N163" s="365"/>
      <c r="O163" s="365"/>
      <c r="P163" s="366"/>
      <c r="Q163" s="92"/>
      <c r="R163" s="93"/>
      <c r="S163" s="93"/>
      <c r="T163" s="93"/>
      <c r="U163" s="93"/>
      <c r="V163" s="105"/>
    </row>
    <row r="164" spans="1:22" s="52" customFormat="1" ht="16.5" customHeight="1" x14ac:dyDescent="0.3">
      <c r="A164" s="364"/>
      <c r="B164" s="365"/>
      <c r="C164" s="365"/>
      <c r="D164" s="365"/>
      <c r="E164" s="365"/>
      <c r="F164" s="365"/>
      <c r="G164" s="365"/>
      <c r="H164" s="365"/>
      <c r="I164" s="365"/>
      <c r="J164" s="365"/>
      <c r="K164" s="365"/>
      <c r="L164" s="365"/>
      <c r="M164" s="365"/>
      <c r="N164" s="365"/>
      <c r="O164" s="365"/>
      <c r="P164" s="366"/>
      <c r="Q164" s="92"/>
      <c r="R164" s="93"/>
      <c r="S164" s="93"/>
      <c r="T164" s="93"/>
      <c r="U164" s="93"/>
      <c r="V164" s="105"/>
    </row>
    <row r="165" spans="1:22" s="52" customFormat="1" ht="16.5" customHeight="1" x14ac:dyDescent="0.3">
      <c r="A165" s="364"/>
      <c r="B165" s="365"/>
      <c r="C165" s="365"/>
      <c r="D165" s="365"/>
      <c r="E165" s="365"/>
      <c r="F165" s="365"/>
      <c r="G165" s="365"/>
      <c r="H165" s="365"/>
      <c r="I165" s="365"/>
      <c r="J165" s="365"/>
      <c r="K165" s="365"/>
      <c r="L165" s="365"/>
      <c r="M165" s="365"/>
      <c r="N165" s="365"/>
      <c r="O165" s="365"/>
      <c r="P165" s="366"/>
      <c r="Q165" s="92"/>
      <c r="R165" s="93"/>
      <c r="S165" s="93"/>
      <c r="T165" s="93"/>
      <c r="U165" s="93"/>
      <c r="V165" s="105"/>
    </row>
    <row r="166" spans="1:22" s="52" customFormat="1" ht="16.5" customHeight="1" thickBot="1" x14ac:dyDescent="0.35">
      <c r="A166" s="367"/>
      <c r="B166" s="368"/>
      <c r="C166" s="368"/>
      <c r="D166" s="368"/>
      <c r="E166" s="368"/>
      <c r="F166" s="368"/>
      <c r="G166" s="368"/>
      <c r="H166" s="368"/>
      <c r="I166" s="368"/>
      <c r="J166" s="368"/>
      <c r="K166" s="368"/>
      <c r="L166" s="368"/>
      <c r="M166" s="368"/>
      <c r="N166" s="368"/>
      <c r="O166" s="368"/>
      <c r="P166" s="369"/>
      <c r="Q166" s="92"/>
      <c r="R166" s="93"/>
      <c r="S166" s="93"/>
      <c r="T166" s="93"/>
      <c r="U166" s="93"/>
      <c r="V166" s="105"/>
    </row>
    <row r="167" spans="1:22" s="52" customFormat="1" ht="15.9" customHeight="1" x14ac:dyDescent="0.3">
      <c r="A167" s="373" t="s">
        <v>329</v>
      </c>
      <c r="B167" s="374"/>
      <c r="C167" s="374"/>
      <c r="D167" s="374"/>
      <c r="E167" s="374"/>
      <c r="F167" s="374"/>
      <c r="G167" s="374"/>
      <c r="H167" s="374"/>
      <c r="I167" s="374"/>
      <c r="J167" s="374"/>
      <c r="K167" s="374"/>
      <c r="L167" s="374"/>
      <c r="M167" s="374"/>
      <c r="N167" s="374"/>
      <c r="O167" s="374"/>
      <c r="P167" s="375"/>
      <c r="Q167" s="92"/>
      <c r="R167" s="93"/>
      <c r="S167" s="93"/>
      <c r="T167" s="93"/>
      <c r="U167" s="93"/>
      <c r="V167" s="105"/>
    </row>
    <row r="168" spans="1:22" s="52" customFormat="1" ht="15.9" customHeight="1" thickBot="1" x14ac:dyDescent="0.35">
      <c r="A168" s="376"/>
      <c r="B168" s="377"/>
      <c r="C168" s="377"/>
      <c r="D168" s="377"/>
      <c r="E168" s="377"/>
      <c r="F168" s="377"/>
      <c r="G168" s="377"/>
      <c r="H168" s="377"/>
      <c r="I168" s="377"/>
      <c r="J168" s="377"/>
      <c r="K168" s="377"/>
      <c r="L168" s="377"/>
      <c r="M168" s="377"/>
      <c r="N168" s="377"/>
      <c r="O168" s="377"/>
      <c r="P168" s="378"/>
      <c r="Q168" s="92"/>
      <c r="R168" s="93"/>
      <c r="S168" s="93"/>
      <c r="T168" s="93"/>
      <c r="U168" s="93"/>
      <c r="V168" s="105"/>
    </row>
    <row r="169" spans="1:22" ht="16.2" thickBot="1" x14ac:dyDescent="0.35">
      <c r="A169" s="207"/>
      <c r="B169" s="208"/>
      <c r="C169" s="208"/>
      <c r="D169" s="208"/>
      <c r="E169" s="208"/>
      <c r="F169" s="208"/>
      <c r="G169" s="208"/>
      <c r="H169" s="208"/>
      <c r="I169" s="208"/>
      <c r="J169" s="208"/>
      <c r="K169" s="208"/>
      <c r="L169" s="208"/>
      <c r="M169" s="208"/>
      <c r="N169" s="208"/>
      <c r="O169" s="208"/>
      <c r="P169" s="209"/>
      <c r="Q169" s="92"/>
      <c r="R169" s="93"/>
      <c r="S169" s="93"/>
      <c r="T169" s="93"/>
      <c r="U169" s="93"/>
      <c r="V169" s="105"/>
    </row>
    <row r="170" spans="1:22" ht="15.75" customHeight="1" thickBot="1" x14ac:dyDescent="0.35">
      <c r="A170" s="396"/>
      <c r="B170" s="387" t="s">
        <v>90</v>
      </c>
      <c r="C170" s="388"/>
      <c r="D170" s="389"/>
      <c r="E170" s="397"/>
      <c r="F170" s="398"/>
      <c r="G170" s="272" t="s">
        <v>93</v>
      </c>
      <c r="H170" s="273"/>
      <c r="I170" s="274"/>
      <c r="J170" s="397"/>
      <c r="K170" s="398"/>
      <c r="L170" s="272" t="s">
        <v>91</v>
      </c>
      <c r="M170" s="273"/>
      <c r="N170" s="274"/>
      <c r="O170" s="397"/>
      <c r="P170" s="290"/>
      <c r="Q170" s="92"/>
      <c r="R170" s="93"/>
      <c r="S170" s="93"/>
      <c r="T170" s="93"/>
      <c r="U170" s="93"/>
      <c r="V170" s="105"/>
    </row>
    <row r="171" spans="1:22" ht="15.75" customHeight="1" x14ac:dyDescent="0.3">
      <c r="A171" s="396"/>
      <c r="B171" s="266" t="str">
        <f>IF('Helper Cells'!AH26="","",'Helper Cells'!AH17+'Helper Cells'!AH20+'Helper Cells'!AH23+'Helper Cells'!AH26)</f>
        <v/>
      </c>
      <c r="C171" s="267"/>
      <c r="D171" s="268"/>
      <c r="E171" s="397"/>
      <c r="F171" s="398"/>
      <c r="G171" s="399" t="str">
        <f>IF(B171="","",IF(B171&lt;100,'Helper Cells'!H2,IF(B171&lt;1000,'Helper Cells'!H3,'Helper Cells'!H4)))</f>
        <v/>
      </c>
      <c r="H171" s="400"/>
      <c r="I171" s="401"/>
      <c r="J171" s="397"/>
      <c r="K171" s="398"/>
      <c r="L171" s="275" t="str">
        <f>IF(OR('Helper Cells'!AI29="", 'Helper Cells'!AI29=0),"",IF('Helper Cells'!AI29&gt;=1000, 'Helper Cells'!I4,IF('Helper Cells'!AI29&lt;100, 'Helper Cells'!I2,'Helper Cells'!I3)))</f>
        <v/>
      </c>
      <c r="M171" s="276"/>
      <c r="N171" s="277"/>
      <c r="O171" s="397"/>
      <c r="P171" s="290"/>
      <c r="Q171" s="92"/>
      <c r="R171" s="93"/>
      <c r="S171" s="93"/>
      <c r="T171" s="93"/>
      <c r="U171" s="93"/>
      <c r="V171" s="105"/>
    </row>
    <row r="172" spans="1:22" ht="15.75" customHeight="1" thickBot="1" x14ac:dyDescent="0.35">
      <c r="A172" s="396"/>
      <c r="B172" s="269"/>
      <c r="C172" s="270"/>
      <c r="D172" s="271"/>
      <c r="E172" s="397"/>
      <c r="F172" s="398"/>
      <c r="G172" s="402"/>
      <c r="H172" s="403"/>
      <c r="I172" s="404"/>
      <c r="J172" s="397"/>
      <c r="K172" s="398"/>
      <c r="L172" s="278"/>
      <c r="M172" s="279"/>
      <c r="N172" s="280"/>
      <c r="O172" s="397"/>
      <c r="P172" s="290"/>
      <c r="Q172" s="92"/>
      <c r="R172" s="93"/>
      <c r="S172" s="93"/>
      <c r="T172" s="93"/>
      <c r="U172" s="93"/>
      <c r="V172" s="105"/>
    </row>
    <row r="173" spans="1:22" ht="15.75" customHeight="1" thickBot="1" x14ac:dyDescent="0.35">
      <c r="A173" s="291"/>
      <c r="B173" s="292"/>
      <c r="C173" s="292"/>
      <c r="D173" s="292"/>
      <c r="E173" s="292"/>
      <c r="F173" s="292"/>
      <c r="G173" s="292"/>
      <c r="H173" s="292"/>
      <c r="I173" s="292"/>
      <c r="J173" s="292"/>
      <c r="K173" s="292"/>
      <c r="L173" s="292"/>
      <c r="M173" s="292"/>
      <c r="N173" s="292"/>
      <c r="O173" s="292"/>
      <c r="P173" s="293"/>
      <c r="Q173" s="92"/>
      <c r="R173" s="93"/>
      <c r="S173" s="93"/>
      <c r="T173" s="93"/>
      <c r="U173" s="93"/>
      <c r="V173" s="105"/>
    </row>
    <row r="174" spans="1:22" ht="15.6" customHeight="1" x14ac:dyDescent="0.3">
      <c r="A174" s="584" t="s">
        <v>337</v>
      </c>
      <c r="B174" s="585"/>
      <c r="C174" s="585"/>
      <c r="D174" s="585"/>
      <c r="E174" s="585"/>
      <c r="F174" s="585"/>
      <c r="G174" s="585"/>
      <c r="H174" s="585"/>
      <c r="I174" s="585"/>
      <c r="J174" s="585"/>
      <c r="K174" s="585"/>
      <c r="L174" s="585"/>
      <c r="M174" s="585"/>
      <c r="N174" s="585"/>
      <c r="O174" s="585"/>
      <c r="P174" s="586"/>
      <c r="Q174" s="92"/>
      <c r="R174" s="93"/>
      <c r="S174" s="93"/>
      <c r="T174" s="93"/>
      <c r="U174" s="93"/>
      <c r="V174" s="105"/>
    </row>
    <row r="175" spans="1:22" ht="16.2" customHeight="1" thickBot="1" x14ac:dyDescent="0.35">
      <c r="A175" s="587"/>
      <c r="B175" s="588"/>
      <c r="C175" s="588"/>
      <c r="D175" s="588"/>
      <c r="E175" s="588"/>
      <c r="F175" s="588"/>
      <c r="G175" s="588"/>
      <c r="H175" s="588"/>
      <c r="I175" s="588"/>
      <c r="J175" s="588"/>
      <c r="K175" s="588"/>
      <c r="L175" s="588"/>
      <c r="M175" s="588"/>
      <c r="N175" s="588"/>
      <c r="O175" s="588"/>
      <c r="P175" s="589"/>
      <c r="Q175" s="92"/>
      <c r="R175" s="93"/>
      <c r="S175" s="93"/>
      <c r="T175" s="93"/>
      <c r="U175" s="93"/>
      <c r="V175" s="105"/>
    </row>
    <row r="176" spans="1:22" ht="16.2" customHeight="1" thickBot="1" x14ac:dyDescent="0.35">
      <c r="A176" s="590"/>
      <c r="B176" s="287"/>
      <c r="C176" s="287"/>
      <c r="D176" s="287"/>
      <c r="E176" s="287"/>
      <c r="F176" s="287"/>
      <c r="G176" s="287"/>
      <c r="H176" s="287"/>
      <c r="I176" s="287"/>
      <c r="J176" s="287"/>
      <c r="K176" s="287"/>
      <c r="L176" s="287"/>
      <c r="M176" s="287"/>
      <c r="N176" s="287"/>
      <c r="O176" s="287"/>
      <c r="P176" s="288"/>
      <c r="Q176" s="92"/>
      <c r="R176" s="93"/>
      <c r="S176" s="93"/>
      <c r="T176" s="93"/>
      <c r="U176" s="93"/>
      <c r="V176" s="105"/>
    </row>
    <row r="177" spans="1:22" ht="18.600000000000001" customHeight="1" thickBot="1" x14ac:dyDescent="0.35">
      <c r="A177" s="591"/>
      <c r="B177" s="308" t="s">
        <v>106</v>
      </c>
      <c r="C177" s="356"/>
      <c r="D177" s="309"/>
      <c r="E177" s="227"/>
      <c r="F177" s="228"/>
      <c r="G177" s="289"/>
      <c r="H177" s="141"/>
      <c r="I177" s="141"/>
      <c r="J177" s="141"/>
      <c r="K177" s="141"/>
      <c r="L177" s="141"/>
      <c r="M177" s="141"/>
      <c r="N177" s="141"/>
      <c r="O177" s="141"/>
      <c r="P177" s="290"/>
      <c r="Q177" s="92"/>
      <c r="R177" s="93"/>
      <c r="S177" s="93"/>
      <c r="T177" s="93"/>
      <c r="U177" s="93"/>
      <c r="V177" s="105"/>
    </row>
    <row r="178" spans="1:22" ht="18.600000000000001" hidden="1" customHeight="1" thickBot="1" x14ac:dyDescent="0.35">
      <c r="A178" s="591"/>
      <c r="B178" s="357" t="s">
        <v>107</v>
      </c>
      <c r="C178" s="311"/>
      <c r="D178" s="312"/>
      <c r="E178" s="225" t="str">
        <f>F179</f>
        <v/>
      </c>
      <c r="F178" s="226"/>
      <c r="G178" s="289"/>
      <c r="H178" s="141"/>
      <c r="I178" s="141"/>
      <c r="J178" s="141"/>
      <c r="K178" s="141"/>
      <c r="L178" s="141"/>
      <c r="M178" s="141"/>
      <c r="N178" s="141"/>
      <c r="O178" s="141"/>
      <c r="P178" s="290"/>
      <c r="Q178" s="92"/>
      <c r="R178" s="93"/>
      <c r="S178" s="93"/>
      <c r="T178" s="93"/>
      <c r="U178" s="93"/>
      <c r="V178" s="105"/>
    </row>
    <row r="179" spans="1:22" ht="33.6" hidden="1" x14ac:dyDescent="0.3">
      <c r="A179" s="80"/>
      <c r="B179" s="47"/>
      <c r="C179" s="47"/>
      <c r="D179" s="47"/>
      <c r="E179" s="48"/>
      <c r="F179" s="48" t="str" cm="1">
        <f t="array" ref="F179">IF(E177="","",INDEX($A$119:$P$119,MATCH(MIN(ABS($A$119:$P$119-E177)),ABS($A$119:$P$119-E177),0)))</f>
        <v/>
      </c>
      <c r="G179" s="93"/>
      <c r="H179" s="34"/>
      <c r="I179" s="132"/>
      <c r="J179" s="132"/>
      <c r="K179" s="132"/>
      <c r="L179" s="132"/>
      <c r="M179" s="132"/>
      <c r="N179" s="132"/>
      <c r="O179" s="132"/>
      <c r="P179" s="132"/>
      <c r="Q179" s="92"/>
      <c r="R179" s="93"/>
      <c r="S179" s="93"/>
      <c r="T179" s="93"/>
      <c r="U179" s="93"/>
      <c r="V179" s="105"/>
    </row>
    <row r="180" spans="1:22" ht="34.200000000000003" thickBot="1" x14ac:dyDescent="0.35">
      <c r="A180" s="385"/>
      <c r="B180" s="386"/>
      <c r="C180" s="386"/>
      <c r="D180" s="386"/>
      <c r="E180" s="386"/>
      <c r="F180" s="386"/>
      <c r="G180" s="386"/>
      <c r="H180" s="386"/>
      <c r="I180" s="582" t="s">
        <v>692</v>
      </c>
      <c r="J180" s="582"/>
      <c r="K180" s="582" t="s">
        <v>693</v>
      </c>
      <c r="L180" s="582"/>
      <c r="M180" s="582" t="s">
        <v>694</v>
      </c>
      <c r="N180" s="582"/>
      <c r="O180" s="582" t="s">
        <v>695</v>
      </c>
      <c r="P180" s="583"/>
      <c r="Q180" s="92"/>
      <c r="R180" s="93"/>
      <c r="S180" s="93"/>
      <c r="T180" s="93"/>
      <c r="U180" s="93"/>
      <c r="V180" s="105"/>
    </row>
    <row r="181" spans="1:22" ht="18.600000000000001" thickBot="1" x14ac:dyDescent="0.35">
      <c r="A181" s="253"/>
      <c r="B181" s="254"/>
      <c r="C181" s="254"/>
      <c r="D181" s="254"/>
      <c r="E181" s="254"/>
      <c r="F181" s="255"/>
      <c r="G181" s="308" t="s">
        <v>108</v>
      </c>
      <c r="H181" s="309"/>
      <c r="I181" s="227"/>
      <c r="J181" s="228"/>
      <c r="K181" s="227"/>
      <c r="L181" s="228"/>
      <c r="M181" s="227"/>
      <c r="N181" s="228"/>
      <c r="O181" s="229"/>
      <c r="P181" s="230"/>
      <c r="Q181" s="92"/>
      <c r="R181" s="93"/>
      <c r="S181" s="93"/>
      <c r="T181" s="93"/>
      <c r="U181" s="93"/>
      <c r="V181" s="105"/>
    </row>
    <row r="182" spans="1:22" ht="18.600000000000001" thickBot="1" x14ac:dyDescent="0.35">
      <c r="A182" s="310" t="s">
        <v>109</v>
      </c>
      <c r="B182" s="311"/>
      <c r="C182" s="311"/>
      <c r="D182" s="312"/>
      <c r="E182" s="354"/>
      <c r="F182" s="355"/>
      <c r="G182" s="308" t="s">
        <v>107</v>
      </c>
      <c r="H182" s="309"/>
      <c r="I182" s="225" t="str">
        <f>J183</f>
        <v/>
      </c>
      <c r="J182" s="226"/>
      <c r="K182" s="225" t="str">
        <f>L183</f>
        <v/>
      </c>
      <c r="L182" s="226"/>
      <c r="M182" s="225" t="str">
        <f>N183</f>
        <v/>
      </c>
      <c r="N182" s="226"/>
      <c r="O182" s="225" t="str">
        <f>P183</f>
        <v/>
      </c>
      <c r="P182" s="226"/>
      <c r="Q182" s="92"/>
      <c r="R182" s="93"/>
      <c r="S182" s="93"/>
      <c r="T182" s="93"/>
      <c r="U182" s="93"/>
      <c r="V182" s="105"/>
    </row>
    <row r="183" spans="1:22" ht="16.2" hidden="1" thickBot="1" x14ac:dyDescent="0.35">
      <c r="A183" s="81"/>
      <c r="B183" s="137" t="str">
        <f>B193</f>
        <v/>
      </c>
      <c r="C183" s="137" t="str">
        <f>B171</f>
        <v/>
      </c>
      <c r="D183" s="49"/>
      <c r="E183" s="35"/>
      <c r="F183" s="35"/>
      <c r="G183" s="42"/>
      <c r="H183" s="42"/>
      <c r="I183" s="48"/>
      <c r="J183" s="48" t="str" cm="1">
        <f t="array" ref="J183">IF(I181="","",IF(I181="Remainder",(100-(K182+M182+O182)),IF(I181=0,0,IF(I181&gt;=51,I181,INDEX($A$119:$P$119,MATCH(MIN(ABS($A$119:$P$119-I181)),ABS($A$119:$P$119-I181),0))))))</f>
        <v/>
      </c>
      <c r="K183" s="48"/>
      <c r="L183" s="48" t="str" cm="1">
        <f t="array" ref="L183">IF(K181="","",IF(K181="Remainder",(100-(J183+N183+P183)),IF(K181=0,0,IF(K181&gt;=51,K181,INDEX($A$119:$P$119,MATCH(MIN(ABS($A$119:$P$119-K181)),ABS($A$119:$P$119-K181),0))))))</f>
        <v/>
      </c>
      <c r="M183" s="48"/>
      <c r="N183" s="48" t="str" cm="1">
        <f t="array" ref="N183">IF(M181="","",IF(M181="Remainder",(100-(J183+L183+P183)),IF(M181=0,0,IF(M181&gt;=51,M181,INDEX($A$119:$P$119,MATCH(MIN(ABS($A$119:$P$119-M181)),ABS($A$119:$P$119-M181),0))))))</f>
        <v/>
      </c>
      <c r="O183" s="48"/>
      <c r="P183" s="48" t="str" cm="1">
        <f t="array" ref="P183">IF(O181="","",IF(O181="Remainder",(100-(J183+L183+N183)),IF(O181=0,0,IF(O181&gt;=51,O181,INDEX($A$119:$P$119,MATCH(MIN(ABS($A$119:$P$119-O181)),ABS($A$119:$P$119-O181),0))))))</f>
        <v/>
      </c>
      <c r="Q183" s="92"/>
      <c r="R183" s="93"/>
      <c r="S183" s="93"/>
      <c r="T183" s="93"/>
      <c r="U183" s="93"/>
      <c r="V183" s="105"/>
    </row>
    <row r="184" spans="1:22" x14ac:dyDescent="0.3">
      <c r="A184" s="299"/>
      <c r="B184" s="300"/>
      <c r="C184" s="300"/>
      <c r="D184" s="300"/>
      <c r="E184" s="300"/>
      <c r="F184" s="300"/>
      <c r="G184" s="300"/>
      <c r="H184" s="300"/>
      <c r="I184" s="300"/>
      <c r="J184" s="300"/>
      <c r="K184" s="300"/>
      <c r="L184" s="300"/>
      <c r="M184" s="300"/>
      <c r="N184" s="300"/>
      <c r="O184" s="300"/>
      <c r="P184" s="301"/>
      <c r="Q184" s="92"/>
      <c r="R184" s="93"/>
      <c r="S184" s="93"/>
      <c r="T184" s="93"/>
      <c r="U184" s="93"/>
      <c r="V184" s="105"/>
    </row>
    <row r="185" spans="1:22" x14ac:dyDescent="0.3">
      <c r="A185" s="302"/>
      <c r="B185" s="303"/>
      <c r="C185" s="303"/>
      <c r="D185" s="303"/>
      <c r="E185" s="303"/>
      <c r="F185" s="303"/>
      <c r="G185" s="303"/>
      <c r="H185" s="303"/>
      <c r="I185" s="303"/>
      <c r="J185" s="303"/>
      <c r="K185" s="303"/>
      <c r="L185" s="303"/>
      <c r="M185" s="303"/>
      <c r="N185" s="303"/>
      <c r="O185" s="303"/>
      <c r="P185" s="304"/>
      <c r="Q185" s="92"/>
      <c r="R185" s="93"/>
      <c r="S185" s="93"/>
      <c r="T185" s="93"/>
      <c r="U185" s="93"/>
      <c r="V185" s="105"/>
    </row>
    <row r="186" spans="1:22" x14ac:dyDescent="0.3">
      <c r="A186" s="302"/>
      <c r="B186" s="303"/>
      <c r="C186" s="303"/>
      <c r="D186" s="303"/>
      <c r="E186" s="303"/>
      <c r="F186" s="303"/>
      <c r="G186" s="303"/>
      <c r="H186" s="303"/>
      <c r="I186" s="303"/>
      <c r="J186" s="303"/>
      <c r="K186" s="303"/>
      <c r="L186" s="303"/>
      <c r="M186" s="303"/>
      <c r="N186" s="303"/>
      <c r="O186" s="303"/>
      <c r="P186" s="304"/>
      <c r="Q186" s="92"/>
      <c r="R186" s="93"/>
      <c r="S186" s="93"/>
      <c r="T186" s="93"/>
      <c r="U186" s="93"/>
      <c r="V186" s="105"/>
    </row>
    <row r="187" spans="1:22" x14ac:dyDescent="0.3">
      <c r="A187" s="302"/>
      <c r="B187" s="303"/>
      <c r="C187" s="303"/>
      <c r="D187" s="303"/>
      <c r="E187" s="303"/>
      <c r="F187" s="303"/>
      <c r="G187" s="303"/>
      <c r="H187" s="303"/>
      <c r="I187" s="303"/>
      <c r="J187" s="303"/>
      <c r="K187" s="303"/>
      <c r="L187" s="303"/>
      <c r="M187" s="303"/>
      <c r="N187" s="303"/>
      <c r="O187" s="303"/>
      <c r="P187" s="304"/>
      <c r="Q187" s="92"/>
      <c r="R187" s="93"/>
      <c r="S187" s="93"/>
      <c r="T187" s="93"/>
      <c r="U187" s="93"/>
      <c r="V187" s="105"/>
    </row>
    <row r="188" spans="1:22" ht="16.2" thickBot="1" x14ac:dyDescent="0.35">
      <c r="A188" s="305"/>
      <c r="B188" s="306"/>
      <c r="C188" s="306"/>
      <c r="D188" s="306"/>
      <c r="E188" s="306"/>
      <c r="F188" s="306"/>
      <c r="G188" s="306"/>
      <c r="H188" s="306"/>
      <c r="I188" s="306"/>
      <c r="J188" s="306"/>
      <c r="K188" s="306"/>
      <c r="L188" s="306"/>
      <c r="M188" s="306"/>
      <c r="N188" s="306"/>
      <c r="O188" s="306"/>
      <c r="P188" s="307"/>
      <c r="Q188" s="92"/>
      <c r="R188" s="93"/>
      <c r="S188" s="93"/>
      <c r="T188" s="93"/>
      <c r="U188" s="93"/>
      <c r="V188" s="105"/>
    </row>
    <row r="189" spans="1:22" ht="15.6" customHeight="1" x14ac:dyDescent="0.3">
      <c r="A189" s="247" t="s">
        <v>330</v>
      </c>
      <c r="B189" s="248"/>
      <c r="C189" s="248"/>
      <c r="D189" s="248"/>
      <c r="E189" s="248"/>
      <c r="F189" s="248"/>
      <c r="G189" s="248"/>
      <c r="H189" s="248"/>
      <c r="I189" s="248"/>
      <c r="J189" s="248"/>
      <c r="K189" s="248"/>
      <c r="L189" s="248"/>
      <c r="M189" s="248"/>
      <c r="N189" s="248"/>
      <c r="O189" s="248"/>
      <c r="P189" s="249"/>
      <c r="Q189" s="92"/>
      <c r="R189" s="93"/>
      <c r="S189" s="93"/>
      <c r="T189" s="93"/>
      <c r="U189" s="93"/>
      <c r="V189" s="105"/>
    </row>
    <row r="190" spans="1:22" x14ac:dyDescent="0.3">
      <c r="A190" s="250"/>
      <c r="B190" s="251"/>
      <c r="C190" s="251"/>
      <c r="D190" s="251"/>
      <c r="E190" s="251"/>
      <c r="F190" s="251"/>
      <c r="G190" s="251"/>
      <c r="H190" s="251"/>
      <c r="I190" s="251"/>
      <c r="J190" s="251"/>
      <c r="K190" s="251"/>
      <c r="L190" s="251"/>
      <c r="M190" s="251"/>
      <c r="N190" s="251"/>
      <c r="O190" s="251"/>
      <c r="P190" s="252"/>
      <c r="Q190" s="92"/>
      <c r="R190" s="93"/>
      <c r="S190" s="93"/>
      <c r="T190" s="93"/>
      <c r="U190" s="93"/>
      <c r="V190" s="105"/>
    </row>
    <row r="191" spans="1:22" ht="19.5" customHeight="1" thickBot="1" x14ac:dyDescent="0.35">
      <c r="A191" s="294"/>
      <c r="B191" s="286"/>
      <c r="C191" s="286"/>
      <c r="D191" s="286"/>
      <c r="E191" s="286"/>
      <c r="F191" s="286"/>
      <c r="G191" s="286"/>
      <c r="H191" s="286"/>
      <c r="I191" s="286"/>
      <c r="J191" s="286"/>
      <c r="K191" s="286"/>
      <c r="L191" s="286"/>
      <c r="M191" s="286"/>
      <c r="N191" s="286"/>
      <c r="O191" s="286"/>
      <c r="P191" s="295"/>
      <c r="Q191" s="92"/>
      <c r="R191" s="93"/>
      <c r="S191" s="93"/>
      <c r="T191" s="93"/>
      <c r="U191" s="93"/>
      <c r="V191" s="105"/>
    </row>
    <row r="192" spans="1:22" ht="19.5" customHeight="1" thickBot="1" x14ac:dyDescent="0.35">
      <c r="A192" s="281"/>
      <c r="B192" s="296" t="s">
        <v>90</v>
      </c>
      <c r="C192" s="297"/>
      <c r="D192" s="298"/>
      <c r="E192" s="282"/>
      <c r="F192" s="283"/>
      <c r="G192" s="296" t="s">
        <v>93</v>
      </c>
      <c r="H192" s="297"/>
      <c r="I192" s="298"/>
      <c r="J192" s="284"/>
      <c r="K192" s="285"/>
      <c r="L192" s="296" t="s">
        <v>91</v>
      </c>
      <c r="M192" s="297"/>
      <c r="N192" s="298"/>
      <c r="O192" s="284"/>
      <c r="P192" s="286"/>
      <c r="Q192" s="92"/>
      <c r="R192" s="93"/>
      <c r="S192" s="93"/>
      <c r="T192" s="93"/>
      <c r="U192" s="93"/>
      <c r="V192" s="105"/>
    </row>
    <row r="193" spans="1:22" ht="19.5" customHeight="1" x14ac:dyDescent="0.3">
      <c r="A193" s="281"/>
      <c r="B193" s="570" t="str">
        <f>IF('Helper Cells'!J20="","",'Helper Cells'!J20+'Helper Cells'!J21+'Helper Cells'!J22+'Helper Cells'!J23)</f>
        <v/>
      </c>
      <c r="C193" s="571"/>
      <c r="D193" s="572"/>
      <c r="E193" s="282"/>
      <c r="F193" s="283"/>
      <c r="G193" s="259" t="str">
        <f>IF(B193="","",IF(B193&lt;100,'Helper Cells'!H2,IF(B193&lt;1000,'Helper Cells'!H3,'Helper Cells'!H4)))</f>
        <v/>
      </c>
      <c r="H193" s="260"/>
      <c r="I193" s="261"/>
      <c r="J193" s="284"/>
      <c r="K193" s="285"/>
      <c r="L193" s="259" t="str">
        <f>IF(OR('Helper Cells'!K24="",'Helper Cells'!K24=0),"",IF('Helper Cells'!K24&gt;=1000,'Helper Cells'!I4,IF('Helper Cells'!K24&lt;100,'Helper Cells'!I2,IF(AND('Helper Cells'!K24&gt;=100,'Helper Cells'!K24&lt;=999),'Helper Cells'!I3,""))))</f>
        <v/>
      </c>
      <c r="M193" s="260"/>
      <c r="N193" s="265"/>
      <c r="O193" s="284"/>
      <c r="P193" s="286"/>
      <c r="Q193" s="92"/>
      <c r="R193" s="93"/>
      <c r="S193" s="93"/>
      <c r="T193" s="93"/>
      <c r="U193" s="93"/>
      <c r="V193" s="105"/>
    </row>
    <row r="194" spans="1:22" ht="19.5" customHeight="1" thickBot="1" x14ac:dyDescent="0.35">
      <c r="A194" s="281"/>
      <c r="B194" s="573"/>
      <c r="C194" s="574"/>
      <c r="D194" s="575"/>
      <c r="E194" s="282"/>
      <c r="F194" s="283"/>
      <c r="G194" s="262"/>
      <c r="H194" s="263"/>
      <c r="I194" s="264"/>
      <c r="J194" s="284"/>
      <c r="K194" s="285"/>
      <c r="L194" s="262"/>
      <c r="M194" s="263"/>
      <c r="N194" s="264"/>
      <c r="O194" s="284"/>
      <c r="P194" s="286"/>
      <c r="Q194" s="92"/>
      <c r="R194" s="93"/>
      <c r="S194" s="93"/>
      <c r="T194" s="93"/>
      <c r="U194" s="93"/>
      <c r="V194" s="105"/>
    </row>
    <row r="195" spans="1:22" ht="19.5" customHeight="1" thickBot="1" x14ac:dyDescent="0.35">
      <c r="A195" s="256"/>
      <c r="B195" s="257"/>
      <c r="C195" s="257"/>
      <c r="D195" s="257"/>
      <c r="E195" s="257"/>
      <c r="F195" s="257"/>
      <c r="G195" s="257"/>
      <c r="H195" s="257"/>
      <c r="I195" s="257"/>
      <c r="J195" s="257"/>
      <c r="K195" s="257"/>
      <c r="L195" s="257"/>
      <c r="M195" s="257"/>
      <c r="N195" s="257"/>
      <c r="O195" s="257"/>
      <c r="P195" s="258"/>
      <c r="Q195" s="567"/>
      <c r="R195" s="568"/>
      <c r="S195" s="568"/>
      <c r="T195" s="568"/>
      <c r="U195" s="568"/>
      <c r="V195" s="569"/>
    </row>
    <row r="196" spans="1:22" s="224" customFormat="1" ht="16.2" thickTop="1" x14ac:dyDescent="0.3"/>
    <row r="197" spans="1:22" x14ac:dyDescent="0.3">
      <c r="A197" s="224"/>
      <c r="B197" s="224"/>
      <c r="C197" s="224"/>
      <c r="D197" s="224"/>
      <c r="E197" s="224"/>
      <c r="F197" s="224"/>
      <c r="G197" s="224"/>
      <c r="H197" s="224"/>
      <c r="I197" s="224"/>
      <c r="J197" s="224"/>
      <c r="K197" s="224"/>
      <c r="L197" s="224"/>
      <c r="M197" s="224"/>
      <c r="N197" s="224"/>
      <c r="O197" s="224"/>
      <c r="P197" s="224"/>
      <c r="Q197" s="224"/>
      <c r="R197" s="224"/>
      <c r="S197" s="224"/>
      <c r="T197" s="224"/>
      <c r="U197" s="224"/>
      <c r="V197" s="224"/>
    </row>
    <row r="198" spans="1:22" x14ac:dyDescent="0.3">
      <c r="A198" s="224"/>
      <c r="B198" s="224"/>
      <c r="C198" s="224"/>
      <c r="D198" s="224"/>
      <c r="E198" s="224"/>
      <c r="F198" s="224"/>
      <c r="G198" s="224"/>
      <c r="H198" s="224"/>
      <c r="I198" s="224"/>
      <c r="J198" s="224"/>
      <c r="K198" s="224"/>
      <c r="L198" s="224"/>
      <c r="M198" s="224"/>
      <c r="N198" s="224"/>
      <c r="O198" s="224"/>
      <c r="P198" s="224"/>
      <c r="Q198" s="224"/>
      <c r="R198" s="224"/>
      <c r="S198" s="224"/>
      <c r="T198" s="224"/>
      <c r="U198" s="224"/>
      <c r="V198" s="224"/>
    </row>
    <row r="199" spans="1:22" x14ac:dyDescent="0.3">
      <c r="A199" s="224"/>
      <c r="B199" s="224"/>
      <c r="C199" s="224"/>
      <c r="D199" s="224"/>
      <c r="E199" s="224"/>
      <c r="F199" s="224"/>
      <c r="G199" s="224"/>
      <c r="H199" s="224"/>
      <c r="I199" s="224"/>
      <c r="J199" s="224"/>
      <c r="K199" s="224"/>
      <c r="L199" s="224"/>
      <c r="M199" s="224"/>
      <c r="N199" s="224"/>
      <c r="O199" s="224"/>
      <c r="P199" s="224"/>
      <c r="Q199" s="224"/>
      <c r="R199" s="224"/>
      <c r="S199" s="224"/>
      <c r="T199" s="224"/>
      <c r="U199" s="224"/>
      <c r="V199" s="224"/>
    </row>
    <row r="200" spans="1:22" x14ac:dyDescent="0.3">
      <c r="A200" s="224"/>
      <c r="B200" s="224"/>
      <c r="C200" s="224"/>
      <c r="D200" s="224"/>
      <c r="E200" s="224"/>
      <c r="F200" s="224"/>
      <c r="G200" s="224"/>
      <c r="H200" s="224"/>
      <c r="I200" s="224"/>
      <c r="J200" s="224"/>
      <c r="K200" s="224"/>
      <c r="L200" s="224"/>
      <c r="M200" s="224"/>
      <c r="N200" s="224"/>
      <c r="O200" s="224"/>
      <c r="P200" s="224"/>
      <c r="Q200" s="224"/>
      <c r="R200" s="224"/>
      <c r="S200" s="224"/>
      <c r="T200" s="224"/>
      <c r="U200" s="224"/>
      <c r="V200" s="224"/>
    </row>
    <row r="201" spans="1:22" x14ac:dyDescent="0.3">
      <c r="A201" s="224"/>
      <c r="B201" s="224"/>
      <c r="C201" s="224"/>
      <c r="D201" s="224"/>
      <c r="E201" s="224"/>
      <c r="F201" s="224"/>
      <c r="G201" s="224"/>
      <c r="H201" s="224"/>
      <c r="I201" s="224"/>
      <c r="J201" s="224"/>
      <c r="K201" s="224"/>
      <c r="L201" s="224"/>
      <c r="M201" s="224"/>
      <c r="N201" s="224"/>
      <c r="O201" s="224"/>
      <c r="P201" s="224"/>
      <c r="Q201" s="224"/>
      <c r="R201" s="224"/>
      <c r="S201" s="224"/>
      <c r="T201" s="224"/>
      <c r="U201" s="224"/>
      <c r="V201" s="224"/>
    </row>
    <row r="202" spans="1:22" x14ac:dyDescent="0.3">
      <c r="A202" s="224"/>
      <c r="B202" s="224"/>
      <c r="C202" s="224"/>
      <c r="D202" s="224"/>
      <c r="E202" s="224"/>
      <c r="F202" s="224"/>
      <c r="G202" s="224"/>
      <c r="H202" s="224"/>
      <c r="I202" s="224"/>
      <c r="J202" s="224"/>
      <c r="K202" s="224"/>
      <c r="L202" s="224"/>
      <c r="M202" s="224"/>
      <c r="N202" s="224"/>
      <c r="O202" s="224"/>
      <c r="P202" s="224"/>
      <c r="Q202" s="224"/>
      <c r="R202" s="224"/>
      <c r="S202" s="224"/>
      <c r="T202" s="224"/>
      <c r="U202" s="224"/>
      <c r="V202" s="224"/>
    </row>
    <row r="203" spans="1:22" x14ac:dyDescent="0.3">
      <c r="A203" s="224"/>
      <c r="B203" s="224"/>
      <c r="C203" s="224"/>
      <c r="D203" s="224"/>
      <c r="E203" s="224"/>
      <c r="F203" s="224"/>
      <c r="G203" s="224"/>
      <c r="H203" s="224"/>
      <c r="I203" s="224"/>
      <c r="J203" s="224"/>
      <c r="K203" s="224"/>
      <c r="L203" s="224"/>
      <c r="M203" s="224"/>
      <c r="N203" s="224"/>
      <c r="O203" s="224"/>
      <c r="P203" s="224"/>
      <c r="Q203" s="224"/>
      <c r="R203" s="224"/>
      <c r="S203" s="224"/>
      <c r="T203" s="224"/>
      <c r="U203" s="224"/>
      <c r="V203" s="224"/>
    </row>
    <row r="204" spans="1:22" x14ac:dyDescent="0.3">
      <c r="A204" s="224"/>
      <c r="B204" s="224"/>
      <c r="C204" s="224"/>
      <c r="D204" s="224"/>
      <c r="E204" s="224"/>
      <c r="F204" s="224"/>
      <c r="G204" s="224"/>
      <c r="H204" s="224"/>
      <c r="I204" s="224"/>
      <c r="J204" s="224"/>
      <c r="K204" s="224"/>
      <c r="L204" s="224"/>
      <c r="M204" s="224"/>
      <c r="N204" s="224"/>
      <c r="O204" s="224"/>
      <c r="P204" s="224"/>
      <c r="Q204" s="224"/>
      <c r="R204" s="224"/>
      <c r="S204" s="224"/>
      <c r="T204" s="224"/>
      <c r="U204" s="224"/>
      <c r="V204" s="224"/>
    </row>
    <row r="205" spans="1:22" x14ac:dyDescent="0.3">
      <c r="A205" s="224"/>
      <c r="B205" s="224"/>
      <c r="C205" s="224"/>
      <c r="D205" s="224"/>
      <c r="E205" s="224"/>
      <c r="F205" s="224"/>
      <c r="G205" s="224"/>
      <c r="H205" s="224"/>
      <c r="I205" s="224"/>
      <c r="J205" s="224"/>
      <c r="K205" s="224"/>
      <c r="L205" s="224"/>
      <c r="M205" s="224"/>
      <c r="N205" s="224"/>
      <c r="O205" s="224"/>
      <c r="P205" s="224"/>
      <c r="Q205" s="224"/>
      <c r="R205" s="224"/>
      <c r="S205" s="224"/>
      <c r="T205" s="224"/>
      <c r="U205" s="224"/>
      <c r="V205" s="224"/>
    </row>
    <row r="206" spans="1:22" x14ac:dyDescent="0.3">
      <c r="A206" s="224"/>
      <c r="B206" s="224"/>
      <c r="C206" s="224"/>
      <c r="D206" s="224"/>
      <c r="E206" s="224"/>
      <c r="F206" s="224"/>
      <c r="G206" s="224"/>
      <c r="H206" s="224"/>
      <c r="I206" s="224"/>
      <c r="J206" s="224"/>
      <c r="K206" s="224"/>
      <c r="L206" s="224"/>
      <c r="M206" s="224"/>
      <c r="N206" s="224"/>
      <c r="O206" s="224"/>
      <c r="P206" s="224"/>
      <c r="Q206" s="224"/>
      <c r="R206" s="224"/>
      <c r="S206" s="224"/>
      <c r="T206" s="224"/>
      <c r="U206" s="224"/>
      <c r="V206" s="224"/>
    </row>
    <row r="207" spans="1:22" x14ac:dyDescent="0.3">
      <c r="A207" s="224"/>
      <c r="B207" s="224"/>
      <c r="C207" s="224"/>
      <c r="D207" s="224"/>
      <c r="E207" s="224"/>
      <c r="F207" s="224"/>
      <c r="G207" s="224"/>
      <c r="H207" s="224"/>
      <c r="I207" s="224"/>
      <c r="J207" s="224"/>
      <c r="K207" s="224"/>
      <c r="L207" s="224"/>
      <c r="M207" s="224"/>
      <c r="N207" s="224"/>
      <c r="O207" s="224"/>
      <c r="P207" s="224"/>
      <c r="Q207" s="224"/>
      <c r="R207" s="224"/>
      <c r="S207" s="224"/>
      <c r="T207" s="224"/>
      <c r="U207" s="224"/>
      <c r="V207" s="224"/>
    </row>
    <row r="208" spans="1:22" x14ac:dyDescent="0.3">
      <c r="A208" s="224"/>
      <c r="B208" s="224"/>
      <c r="C208" s="224"/>
      <c r="D208" s="224"/>
      <c r="E208" s="224"/>
      <c r="F208" s="224"/>
      <c r="G208" s="224"/>
      <c r="H208" s="224"/>
      <c r="I208" s="224"/>
      <c r="J208" s="224"/>
      <c r="K208" s="224"/>
      <c r="L208" s="224"/>
      <c r="M208" s="224"/>
      <c r="N208" s="224"/>
      <c r="O208" s="224"/>
      <c r="P208" s="224"/>
      <c r="Q208" s="224"/>
      <c r="R208" s="224"/>
      <c r="S208" s="224"/>
      <c r="T208" s="224"/>
      <c r="U208" s="224"/>
      <c r="V208" s="224"/>
    </row>
    <row r="209" spans="1:22" x14ac:dyDescent="0.3">
      <c r="A209" s="224"/>
      <c r="B209" s="224"/>
      <c r="C209" s="224"/>
      <c r="D209" s="224"/>
      <c r="E209" s="224"/>
      <c r="F209" s="224"/>
      <c r="G209" s="224"/>
      <c r="H209" s="224"/>
      <c r="I209" s="224"/>
      <c r="J209" s="224"/>
      <c r="K209" s="224"/>
      <c r="L209" s="224"/>
      <c r="M209" s="224"/>
      <c r="N209" s="224"/>
      <c r="O209" s="224"/>
      <c r="P209" s="224"/>
      <c r="Q209" s="224"/>
      <c r="R209" s="224"/>
      <c r="S209" s="224"/>
      <c r="T209" s="224"/>
      <c r="U209" s="224"/>
      <c r="V209" s="224"/>
    </row>
    <row r="210" spans="1:22" x14ac:dyDescent="0.3">
      <c r="A210" s="224"/>
      <c r="B210" s="224"/>
      <c r="C210" s="224"/>
      <c r="D210" s="224"/>
      <c r="E210" s="224"/>
      <c r="F210" s="224"/>
      <c r="G210" s="224"/>
      <c r="H210" s="224"/>
      <c r="I210" s="224"/>
      <c r="J210" s="224"/>
      <c r="K210" s="224"/>
      <c r="L210" s="224"/>
      <c r="M210" s="224"/>
      <c r="N210" s="224"/>
      <c r="O210" s="224"/>
      <c r="P210" s="224"/>
      <c r="Q210" s="224"/>
      <c r="R210" s="224"/>
      <c r="S210" s="224"/>
      <c r="T210" s="224"/>
      <c r="U210" s="224"/>
      <c r="V210" s="224"/>
    </row>
    <row r="211" spans="1:22" x14ac:dyDescent="0.3">
      <c r="A211" s="224"/>
      <c r="B211" s="224"/>
      <c r="C211" s="224"/>
      <c r="D211" s="224"/>
      <c r="E211" s="224"/>
      <c r="F211" s="224"/>
      <c r="G211" s="224"/>
      <c r="H211" s="224"/>
      <c r="I211" s="224"/>
      <c r="J211" s="224"/>
      <c r="K211" s="224"/>
      <c r="L211" s="224"/>
      <c r="M211" s="224"/>
      <c r="N211" s="224"/>
      <c r="O211" s="224"/>
      <c r="P211" s="224"/>
      <c r="Q211" s="224"/>
      <c r="R211" s="224"/>
      <c r="S211" s="224"/>
      <c r="T211" s="224"/>
      <c r="U211" s="224"/>
      <c r="V211" s="224"/>
    </row>
    <row r="212" spans="1:22" x14ac:dyDescent="0.3">
      <c r="A212" s="224"/>
      <c r="B212" s="224"/>
      <c r="C212" s="224"/>
      <c r="D212" s="224"/>
      <c r="E212" s="224"/>
      <c r="F212" s="224"/>
      <c r="G212" s="224"/>
      <c r="H212" s="224"/>
      <c r="I212" s="224"/>
      <c r="J212" s="224"/>
      <c r="K212" s="224"/>
      <c r="L212" s="224"/>
      <c r="M212" s="224"/>
      <c r="N212" s="224"/>
      <c r="O212" s="224"/>
      <c r="P212" s="224"/>
      <c r="Q212" s="224"/>
      <c r="R212" s="224"/>
      <c r="S212" s="224"/>
      <c r="T212" s="224"/>
      <c r="U212" s="224"/>
      <c r="V212" s="224"/>
    </row>
    <row r="213" spans="1:22" x14ac:dyDescent="0.3">
      <c r="A213" s="224"/>
      <c r="B213" s="224"/>
      <c r="C213" s="224"/>
      <c r="D213" s="224"/>
      <c r="E213" s="224"/>
      <c r="F213" s="224"/>
      <c r="G213" s="224"/>
      <c r="H213" s="224"/>
      <c r="I213" s="224"/>
      <c r="J213" s="224"/>
      <c r="K213" s="224"/>
      <c r="L213" s="224"/>
      <c r="M213" s="224"/>
      <c r="N213" s="224"/>
      <c r="O213" s="224"/>
      <c r="P213" s="224"/>
      <c r="Q213" s="224"/>
      <c r="R213" s="224"/>
      <c r="S213" s="224"/>
      <c r="T213" s="224"/>
      <c r="U213" s="224"/>
      <c r="V213" s="224"/>
    </row>
    <row r="214" spans="1:22" x14ac:dyDescent="0.3">
      <c r="A214" s="224"/>
      <c r="B214" s="224"/>
      <c r="C214" s="224"/>
      <c r="D214" s="224"/>
      <c r="E214" s="224"/>
      <c r="F214" s="224"/>
      <c r="G214" s="224"/>
      <c r="H214" s="224"/>
      <c r="I214" s="224"/>
      <c r="J214" s="224"/>
      <c r="K214" s="224"/>
      <c r="L214" s="224"/>
      <c r="M214" s="224"/>
      <c r="N214" s="224"/>
      <c r="O214" s="224"/>
      <c r="P214" s="224"/>
      <c r="Q214" s="224"/>
      <c r="R214" s="224"/>
      <c r="S214" s="224"/>
      <c r="T214" s="224"/>
      <c r="U214" s="224"/>
      <c r="V214" s="224"/>
    </row>
    <row r="215" spans="1:22" x14ac:dyDescent="0.3">
      <c r="A215" s="224"/>
      <c r="B215" s="224"/>
      <c r="C215" s="224"/>
      <c r="D215" s="224"/>
      <c r="E215" s="224"/>
      <c r="F215" s="224"/>
      <c r="G215" s="224"/>
      <c r="H215" s="224"/>
      <c r="I215" s="224"/>
      <c r="J215" s="224"/>
      <c r="K215" s="224"/>
      <c r="L215" s="224"/>
      <c r="M215" s="224"/>
      <c r="N215" s="224"/>
      <c r="O215" s="224"/>
      <c r="P215" s="224"/>
      <c r="Q215" s="224"/>
      <c r="R215" s="224"/>
      <c r="S215" s="224"/>
      <c r="T215" s="224"/>
      <c r="U215" s="224"/>
      <c r="V215" s="224"/>
    </row>
    <row r="216" spans="1:22" x14ac:dyDescent="0.3">
      <c r="A216" s="224"/>
      <c r="B216" s="224"/>
      <c r="C216" s="224"/>
      <c r="D216" s="224"/>
      <c r="E216" s="224"/>
      <c r="F216" s="224"/>
      <c r="G216" s="224"/>
      <c r="H216" s="224"/>
      <c r="I216" s="224"/>
      <c r="J216" s="224"/>
      <c r="K216" s="224"/>
      <c r="L216" s="224"/>
      <c r="M216" s="224"/>
      <c r="N216" s="224"/>
      <c r="O216" s="224"/>
      <c r="P216" s="224"/>
      <c r="Q216" s="224"/>
      <c r="R216" s="224"/>
      <c r="S216" s="224"/>
      <c r="T216" s="224"/>
      <c r="U216" s="224"/>
      <c r="V216" s="224"/>
    </row>
    <row r="217" spans="1:22" x14ac:dyDescent="0.3">
      <c r="A217" s="224"/>
      <c r="B217" s="224"/>
      <c r="C217" s="224"/>
      <c r="D217" s="224"/>
      <c r="E217" s="224"/>
      <c r="F217" s="224"/>
      <c r="G217" s="224"/>
      <c r="H217" s="224"/>
      <c r="I217" s="224"/>
      <c r="J217" s="224"/>
      <c r="K217" s="224"/>
      <c r="L217" s="224"/>
      <c r="M217" s="224"/>
      <c r="N217" s="224"/>
      <c r="O217" s="224"/>
      <c r="P217" s="224"/>
      <c r="Q217" s="224"/>
      <c r="R217" s="224"/>
      <c r="S217" s="224"/>
      <c r="T217" s="224"/>
      <c r="U217" s="224"/>
      <c r="V217" s="224"/>
    </row>
    <row r="218" spans="1:22" x14ac:dyDescent="0.3">
      <c r="A218" s="224"/>
      <c r="B218" s="224"/>
      <c r="C218" s="224"/>
      <c r="D218" s="224"/>
      <c r="E218" s="224"/>
      <c r="F218" s="224"/>
      <c r="G218" s="224"/>
      <c r="H218" s="224"/>
      <c r="I218" s="224"/>
      <c r="J218" s="224"/>
      <c r="K218" s="224"/>
      <c r="L218" s="224"/>
      <c r="M218" s="224"/>
      <c r="N218" s="224"/>
      <c r="O218" s="224"/>
      <c r="P218" s="224"/>
      <c r="Q218" s="224"/>
      <c r="R218" s="224"/>
      <c r="S218" s="224"/>
      <c r="T218" s="224"/>
      <c r="U218" s="224"/>
      <c r="V218" s="224"/>
    </row>
    <row r="219" spans="1:22" x14ac:dyDescent="0.3">
      <c r="A219" s="224"/>
      <c r="B219" s="224"/>
      <c r="C219" s="224"/>
      <c r="D219" s="224"/>
      <c r="E219" s="224"/>
      <c r="F219" s="224"/>
      <c r="G219" s="224"/>
      <c r="H219" s="224"/>
      <c r="I219" s="224"/>
      <c r="J219" s="224"/>
      <c r="K219" s="224"/>
      <c r="L219" s="224"/>
      <c r="M219" s="224"/>
      <c r="N219" s="224"/>
      <c r="O219" s="224"/>
      <c r="P219" s="224"/>
      <c r="Q219" s="224"/>
      <c r="R219" s="224"/>
      <c r="S219" s="224"/>
      <c r="T219" s="224"/>
      <c r="U219" s="224"/>
      <c r="V219" s="224"/>
    </row>
    <row r="220" spans="1:22" x14ac:dyDescent="0.3">
      <c r="A220" s="224"/>
      <c r="B220" s="224"/>
      <c r="C220" s="224"/>
      <c r="D220" s="224"/>
      <c r="E220" s="224"/>
      <c r="F220" s="224"/>
      <c r="G220" s="224"/>
      <c r="H220" s="224"/>
      <c r="I220" s="224"/>
      <c r="J220" s="224"/>
      <c r="K220" s="224"/>
      <c r="L220" s="224"/>
      <c r="M220" s="224"/>
      <c r="N220" s="224"/>
      <c r="O220" s="224"/>
      <c r="P220" s="224"/>
      <c r="Q220" s="224"/>
      <c r="R220" s="224"/>
      <c r="S220" s="224"/>
      <c r="T220" s="224"/>
      <c r="U220" s="224"/>
      <c r="V220" s="224"/>
    </row>
    <row r="221" spans="1:22" x14ac:dyDescent="0.3">
      <c r="A221" s="224"/>
      <c r="B221" s="224"/>
      <c r="C221" s="224"/>
      <c r="D221" s="224"/>
      <c r="E221" s="224"/>
      <c r="F221" s="224"/>
      <c r="G221" s="224"/>
      <c r="H221" s="224"/>
      <c r="I221" s="224"/>
      <c r="J221" s="224"/>
      <c r="K221" s="224"/>
      <c r="L221" s="224"/>
      <c r="M221" s="224"/>
      <c r="N221" s="224"/>
      <c r="O221" s="224"/>
      <c r="P221" s="224"/>
      <c r="Q221" s="224"/>
      <c r="R221" s="224"/>
      <c r="S221" s="224"/>
      <c r="T221" s="224"/>
      <c r="U221" s="224"/>
      <c r="V221" s="224"/>
    </row>
  </sheetData>
  <sheetProtection algorithmName="SHA-512" hashValue="luNrXWeb6uVSLAJJaN7dGQ6ttSSsRLbT8ht5EaTTfeZrsDrnKNjj+l9mext7jWZ0igGmbW56cxwH2vRXxD6Hng==" saltValue="u4pTAieNcYc6mwqOTLdxYA==" spinCount="100000" sheet="1" objects="1" scenarios="1" selectLockedCells="1"/>
  <dataConsolidate/>
  <mergeCells count="353">
    <mergeCell ref="Q118:V118"/>
    <mergeCell ref="Q142:V142"/>
    <mergeCell ref="Q146:V146"/>
    <mergeCell ref="Q150:V150"/>
    <mergeCell ref="Q154:V154"/>
    <mergeCell ref="Q50:V54"/>
    <mergeCell ref="Q195:V195"/>
    <mergeCell ref="A196:XFD196"/>
    <mergeCell ref="O106:P106"/>
    <mergeCell ref="O108:P108"/>
    <mergeCell ref="O101:P101"/>
    <mergeCell ref="O102:P102"/>
    <mergeCell ref="O105:P105"/>
    <mergeCell ref="B193:D194"/>
    <mergeCell ref="A88:P89"/>
    <mergeCell ref="I153:K153"/>
    <mergeCell ref="F153:H153"/>
    <mergeCell ref="I180:J180"/>
    <mergeCell ref="K180:L180"/>
    <mergeCell ref="M180:N180"/>
    <mergeCell ref="O180:P180"/>
    <mergeCell ref="A174:P175"/>
    <mergeCell ref="A176:A178"/>
    <mergeCell ref="C153:E153"/>
    <mergeCell ref="F112:P113"/>
    <mergeCell ref="A112:E113"/>
    <mergeCell ref="C145:E145"/>
    <mergeCell ref="A140:B140"/>
    <mergeCell ref="M141:O141"/>
    <mergeCell ref="J139:L139"/>
    <mergeCell ref="J138:M138"/>
    <mergeCell ref="E114:F114"/>
    <mergeCell ref="A136:P136"/>
    <mergeCell ref="G137:I137"/>
    <mergeCell ref="A138:I139"/>
    <mergeCell ref="P137:P154"/>
    <mergeCell ref="N114:P114"/>
    <mergeCell ref="I149:K149"/>
    <mergeCell ref="A116:P116"/>
    <mergeCell ref="A121:P121"/>
    <mergeCell ref="E117:H117"/>
    <mergeCell ref="I117:L117"/>
    <mergeCell ref="M117:P117"/>
    <mergeCell ref="A114:D114"/>
    <mergeCell ref="I114:K114"/>
    <mergeCell ref="L114:M114"/>
    <mergeCell ref="A134:C134"/>
    <mergeCell ref="F134:G134"/>
    <mergeCell ref="I134:J134"/>
    <mergeCell ref="L134:M134"/>
    <mergeCell ref="O134:P134"/>
    <mergeCell ref="A133:P133"/>
    <mergeCell ref="A124:P132"/>
    <mergeCell ref="A122:P123"/>
    <mergeCell ref="G114:H114"/>
    <mergeCell ref="A117:D117"/>
    <mergeCell ref="A12:P12"/>
    <mergeCell ref="O62:P62"/>
    <mergeCell ref="B50:N50"/>
    <mergeCell ref="B56:N56"/>
    <mergeCell ref="B57:N57"/>
    <mergeCell ref="B58:N58"/>
    <mergeCell ref="J47:N47"/>
    <mergeCell ref="A46:P46"/>
    <mergeCell ref="O50:P50"/>
    <mergeCell ref="O51:P51"/>
    <mergeCell ref="A15:P15"/>
    <mergeCell ref="B52:N52"/>
    <mergeCell ref="O52:P52"/>
    <mergeCell ref="O53:P53"/>
    <mergeCell ref="O54:P54"/>
    <mergeCell ref="H16:J16"/>
    <mergeCell ref="K16:L16"/>
    <mergeCell ref="D21:P21"/>
    <mergeCell ref="A28:P28"/>
    <mergeCell ref="C16:D16"/>
    <mergeCell ref="F16:G16"/>
    <mergeCell ref="A29:P30"/>
    <mergeCell ref="A31:P45"/>
    <mergeCell ref="M16:N16"/>
    <mergeCell ref="F1:H2"/>
    <mergeCell ref="I1:P2"/>
    <mergeCell ref="L9:P9"/>
    <mergeCell ref="L10:P10"/>
    <mergeCell ref="A3:P3"/>
    <mergeCell ref="A4:A6"/>
    <mergeCell ref="E4:F6"/>
    <mergeCell ref="J4:K6"/>
    <mergeCell ref="A9:B9"/>
    <mergeCell ref="A10:B10"/>
    <mergeCell ref="L8:P8"/>
    <mergeCell ref="C8:H8"/>
    <mergeCell ref="C9:H9"/>
    <mergeCell ref="C10:H10"/>
    <mergeCell ref="I8:I11"/>
    <mergeCell ref="A1:E2"/>
    <mergeCell ref="A11:B11"/>
    <mergeCell ref="J11:K11"/>
    <mergeCell ref="L11:P11"/>
    <mergeCell ref="J9:K9"/>
    <mergeCell ref="J10:K10"/>
    <mergeCell ref="J8:K8"/>
    <mergeCell ref="O4:P6"/>
    <mergeCell ref="A7:P7"/>
    <mergeCell ref="B4:D4"/>
    <mergeCell ref="G4:I4"/>
    <mergeCell ref="L4:N4"/>
    <mergeCell ref="B5:D6"/>
    <mergeCell ref="G5:I6"/>
    <mergeCell ref="L5:N6"/>
    <mergeCell ref="L141:L142"/>
    <mergeCell ref="L170:N170"/>
    <mergeCell ref="B170:D170"/>
    <mergeCell ref="F141:H141"/>
    <mergeCell ref="I141:K141"/>
    <mergeCell ref="M145:O145"/>
    <mergeCell ref="F145:H145"/>
    <mergeCell ref="I145:K145"/>
    <mergeCell ref="M153:O153"/>
    <mergeCell ref="A152:B152"/>
    <mergeCell ref="A170:A172"/>
    <mergeCell ref="E170:F172"/>
    <mergeCell ref="J170:K172"/>
    <mergeCell ref="O170:P172"/>
    <mergeCell ref="A156:P156"/>
    <mergeCell ref="G171:I172"/>
    <mergeCell ref="E182:F182"/>
    <mergeCell ref="B177:D177"/>
    <mergeCell ref="B178:D178"/>
    <mergeCell ref="E178:F178"/>
    <mergeCell ref="C144:O144"/>
    <mergeCell ref="L145:L146"/>
    <mergeCell ref="C148:O148"/>
    <mergeCell ref="L149:L150"/>
    <mergeCell ref="C152:O152"/>
    <mergeCell ref="L153:L154"/>
    <mergeCell ref="E177:F177"/>
    <mergeCell ref="A159:P166"/>
    <mergeCell ref="F149:H149"/>
    <mergeCell ref="C149:E149"/>
    <mergeCell ref="A153:B153"/>
    <mergeCell ref="A167:P168"/>
    <mergeCell ref="A157:P158"/>
    <mergeCell ref="A148:B148"/>
    <mergeCell ref="A145:B145"/>
    <mergeCell ref="A180:H180"/>
    <mergeCell ref="Q4:V10"/>
    <mergeCell ref="Q31:V31"/>
    <mergeCell ref="Q32:V32"/>
    <mergeCell ref="Q33:V33"/>
    <mergeCell ref="A24:G24"/>
    <mergeCell ref="C18:D18"/>
    <mergeCell ref="F17:G17"/>
    <mergeCell ref="F18:G18"/>
    <mergeCell ref="H17:J17"/>
    <mergeCell ref="H18:J18"/>
    <mergeCell ref="K17:L17"/>
    <mergeCell ref="K18:L18"/>
    <mergeCell ref="M17:N17"/>
    <mergeCell ref="M18:N18"/>
    <mergeCell ref="H20:P20"/>
    <mergeCell ref="A22:C22"/>
    <mergeCell ref="A21:C21"/>
    <mergeCell ref="F20:G20"/>
    <mergeCell ref="E13:H13"/>
    <mergeCell ref="E14:H14"/>
    <mergeCell ref="I13:L13"/>
    <mergeCell ref="I14:L14"/>
    <mergeCell ref="A8:B8"/>
    <mergeCell ref="C11:H11"/>
    <mergeCell ref="Q197:V221"/>
    <mergeCell ref="A195:P195"/>
    <mergeCell ref="G193:I194"/>
    <mergeCell ref="L193:N194"/>
    <mergeCell ref="B171:D172"/>
    <mergeCell ref="G170:I170"/>
    <mergeCell ref="L171:N172"/>
    <mergeCell ref="A192:A194"/>
    <mergeCell ref="E192:F194"/>
    <mergeCell ref="J192:K194"/>
    <mergeCell ref="O192:P194"/>
    <mergeCell ref="B176:P176"/>
    <mergeCell ref="G177:P178"/>
    <mergeCell ref="A173:P173"/>
    <mergeCell ref="O182:P182"/>
    <mergeCell ref="A191:P191"/>
    <mergeCell ref="B192:D192"/>
    <mergeCell ref="G192:I192"/>
    <mergeCell ref="L192:N192"/>
    <mergeCell ref="A184:P188"/>
    <mergeCell ref="G181:H181"/>
    <mergeCell ref="A182:D182"/>
    <mergeCell ref="G182:H182"/>
    <mergeCell ref="I182:J182"/>
    <mergeCell ref="C17:D17"/>
    <mergeCell ref="A23:C23"/>
    <mergeCell ref="A16:B18"/>
    <mergeCell ref="O16:P18"/>
    <mergeCell ref="A20:C20"/>
    <mergeCell ref="D23:P23"/>
    <mergeCell ref="D22:P22"/>
    <mergeCell ref="A197:P221"/>
    <mergeCell ref="K182:L182"/>
    <mergeCell ref="I181:J181"/>
    <mergeCell ref="K181:L181"/>
    <mergeCell ref="M181:N181"/>
    <mergeCell ref="O181:P181"/>
    <mergeCell ref="M182:N182"/>
    <mergeCell ref="J137:N137"/>
    <mergeCell ref="M149:O149"/>
    <mergeCell ref="A144:B144"/>
    <mergeCell ref="A137:D137"/>
    <mergeCell ref="A141:B141"/>
    <mergeCell ref="C141:E141"/>
    <mergeCell ref="C140:O140"/>
    <mergeCell ref="A189:P190"/>
    <mergeCell ref="A149:B149"/>
    <mergeCell ref="A181:F181"/>
    <mergeCell ref="O80:P80"/>
    <mergeCell ref="O66:P66"/>
    <mergeCell ref="O81:P81"/>
    <mergeCell ref="O90:P90"/>
    <mergeCell ref="O71:P71"/>
    <mergeCell ref="O63:P63"/>
    <mergeCell ref="A86:P87"/>
    <mergeCell ref="A169:P169"/>
    <mergeCell ref="B73:N73"/>
    <mergeCell ref="O109:P109"/>
    <mergeCell ref="O110:P110"/>
    <mergeCell ref="O91:P91"/>
    <mergeCell ref="O92:P92"/>
    <mergeCell ref="C108:N108"/>
    <mergeCell ref="C109:N109"/>
    <mergeCell ref="C110:N110"/>
    <mergeCell ref="A99:B99"/>
    <mergeCell ref="A100:B100"/>
    <mergeCell ref="A101:B101"/>
    <mergeCell ref="A102:B102"/>
    <mergeCell ref="A103:B103"/>
    <mergeCell ref="A104:B104"/>
    <mergeCell ref="C99:N99"/>
    <mergeCell ref="E137:F137"/>
    <mergeCell ref="O75:P75"/>
    <mergeCell ref="O76:P76"/>
    <mergeCell ref="O77:P77"/>
    <mergeCell ref="O78:P78"/>
    <mergeCell ref="B59:N59"/>
    <mergeCell ref="B60:N60"/>
    <mergeCell ref="B61:N61"/>
    <mergeCell ref="B62:N62"/>
    <mergeCell ref="B63:N63"/>
    <mergeCell ref="B64:N64"/>
    <mergeCell ref="B65:N65"/>
    <mergeCell ref="B66:N66"/>
    <mergeCell ref="O59:P59"/>
    <mergeCell ref="O60:P60"/>
    <mergeCell ref="B72:N72"/>
    <mergeCell ref="B67:N67"/>
    <mergeCell ref="B68:N68"/>
    <mergeCell ref="B69:N69"/>
    <mergeCell ref="O61:P61"/>
    <mergeCell ref="O64:P64"/>
    <mergeCell ref="O73:P73"/>
    <mergeCell ref="O74:P74"/>
    <mergeCell ref="O65:P65"/>
    <mergeCell ref="O67:P67"/>
    <mergeCell ref="O70:P70"/>
    <mergeCell ref="O72:P72"/>
    <mergeCell ref="O55:P55"/>
    <mergeCell ref="O56:P56"/>
    <mergeCell ref="O57:P57"/>
    <mergeCell ref="Q29:V30"/>
    <mergeCell ref="B51:N51"/>
    <mergeCell ref="A47:I47"/>
    <mergeCell ref="O68:P68"/>
    <mergeCell ref="O69:P69"/>
    <mergeCell ref="O47:P47"/>
    <mergeCell ref="O58:P58"/>
    <mergeCell ref="B53:N53"/>
    <mergeCell ref="B54:N54"/>
    <mergeCell ref="B55:N55"/>
    <mergeCell ref="C102:N102"/>
    <mergeCell ref="C103:N103"/>
    <mergeCell ref="C104:N104"/>
    <mergeCell ref="C105:N105"/>
    <mergeCell ref="C106:N106"/>
    <mergeCell ref="B70:N70"/>
    <mergeCell ref="B71:N71"/>
    <mergeCell ref="O82:P82"/>
    <mergeCell ref="Q34:V34"/>
    <mergeCell ref="Q35:V35"/>
    <mergeCell ref="Q36:V36"/>
    <mergeCell ref="Q37:V37"/>
    <mergeCell ref="O79:P79"/>
    <mergeCell ref="B83:N83"/>
    <mergeCell ref="B74:N74"/>
    <mergeCell ref="B75:N75"/>
    <mergeCell ref="B76:N76"/>
    <mergeCell ref="B77:N77"/>
    <mergeCell ref="B78:N78"/>
    <mergeCell ref="B79:N79"/>
    <mergeCell ref="B80:N80"/>
    <mergeCell ref="B81:N81"/>
    <mergeCell ref="B82:N82"/>
    <mergeCell ref="O83:P83"/>
    <mergeCell ref="A109:B109"/>
    <mergeCell ref="A110:B110"/>
    <mergeCell ref="A48:P48"/>
    <mergeCell ref="O93:P93"/>
    <mergeCell ref="O94:P94"/>
    <mergeCell ref="A49:P49"/>
    <mergeCell ref="O107:P107"/>
    <mergeCell ref="O104:P104"/>
    <mergeCell ref="O103:P103"/>
    <mergeCell ref="O100:P100"/>
    <mergeCell ref="O99:P99"/>
    <mergeCell ref="O98:P98"/>
    <mergeCell ref="O97:P97"/>
    <mergeCell ref="O96:P96"/>
    <mergeCell ref="O95:P95"/>
    <mergeCell ref="A90:B90"/>
    <mergeCell ref="A91:B91"/>
    <mergeCell ref="A92:B92"/>
    <mergeCell ref="A93:B93"/>
    <mergeCell ref="C90:N90"/>
    <mergeCell ref="C91:N91"/>
    <mergeCell ref="C92:N92"/>
    <mergeCell ref="C93:N93"/>
    <mergeCell ref="C94:N94"/>
    <mergeCell ref="Q14:V28"/>
    <mergeCell ref="Q11:V13"/>
    <mergeCell ref="Q1:T2"/>
    <mergeCell ref="U1:V2"/>
    <mergeCell ref="B84:N84"/>
    <mergeCell ref="B85:N85"/>
    <mergeCell ref="O84:P84"/>
    <mergeCell ref="O85:P85"/>
    <mergeCell ref="A108:B108"/>
    <mergeCell ref="C95:N95"/>
    <mergeCell ref="C96:N96"/>
    <mergeCell ref="C107:N107"/>
    <mergeCell ref="A94:B94"/>
    <mergeCell ref="A95:B95"/>
    <mergeCell ref="A96:B96"/>
    <mergeCell ref="A97:B97"/>
    <mergeCell ref="A98:B98"/>
    <mergeCell ref="A105:B105"/>
    <mergeCell ref="A106:B106"/>
    <mergeCell ref="A107:B107"/>
    <mergeCell ref="C97:N97"/>
    <mergeCell ref="C98:N98"/>
    <mergeCell ref="C100:N100"/>
    <mergeCell ref="C101:N101"/>
  </mergeCells>
  <conditionalFormatting sqref="A50:N85">
    <cfRule type="expression" dxfId="33" priority="46">
      <formula>$A50=""</formula>
    </cfRule>
  </conditionalFormatting>
  <conditionalFormatting sqref="E16">
    <cfRule type="containsText" dxfId="32" priority="35" operator="containsText" text="G">
      <formula>NOT(ISERROR(SEARCH("G",E16)))</formula>
    </cfRule>
    <cfRule type="containsText" dxfId="31" priority="36" operator="containsText" text="F">
      <formula>NOT(ISERROR(SEARCH("F",E16)))</formula>
    </cfRule>
  </conditionalFormatting>
  <conditionalFormatting sqref="C90:C110">
    <cfRule type="expression" dxfId="30" priority="48">
      <formula>$C90=""</formula>
    </cfRule>
  </conditionalFormatting>
  <conditionalFormatting sqref="A90:B110">
    <cfRule type="expression" dxfId="29" priority="34">
      <formula>$A90=""</formula>
    </cfRule>
  </conditionalFormatting>
  <conditionalFormatting sqref="O50:P85">
    <cfRule type="expression" dxfId="28" priority="28" stopIfTrue="1">
      <formula>O50=""</formula>
    </cfRule>
    <cfRule type="cellIs" dxfId="27" priority="29" operator="greaterThan">
      <formula>3</formula>
    </cfRule>
    <cfRule type="cellIs" dxfId="26" priority="30" stopIfTrue="1" operator="equal">
      <formula>3</formula>
    </cfRule>
    <cfRule type="cellIs" dxfId="25" priority="31" stopIfTrue="1" operator="equal">
      <formula>2</formula>
    </cfRule>
    <cfRule type="cellIs" dxfId="24" priority="32" stopIfTrue="1" operator="equal">
      <formula>1</formula>
    </cfRule>
    <cfRule type="cellIs" dxfId="23" priority="33" stopIfTrue="1" operator="equal">
      <formula>0</formula>
    </cfRule>
  </conditionalFormatting>
  <conditionalFormatting sqref="E114:F114 E137:F137 F134:G134 I134:J134 L134:M134 O134:P134">
    <cfRule type="cellIs" dxfId="22" priority="27" operator="greaterThanOrEqual">
      <formula>0</formula>
    </cfRule>
  </conditionalFormatting>
  <conditionalFormatting sqref="L114:M114">
    <cfRule type="cellIs" dxfId="21" priority="26" operator="greaterThan">
      <formula>0</formula>
    </cfRule>
  </conditionalFormatting>
  <conditionalFormatting sqref="A118:P118">
    <cfRule type="expression" dxfId="20" priority="20" stopIfTrue="1">
      <formula>A119=$O$115</formula>
    </cfRule>
    <cfRule type="expression" dxfId="19" priority="21">
      <formula>A119=$F$115</formula>
    </cfRule>
  </conditionalFormatting>
  <conditionalFormatting sqref="A142:K142 A146:K146 A150:K150 A154:K154">
    <cfRule type="containsText" dxfId="18" priority="18" stopIfTrue="1" operator="containsText" text="Case">
      <formula>NOT(ISERROR(SEARCH("Case",A142)))</formula>
    </cfRule>
    <cfRule type="containsText" dxfId="17" priority="19" operator="containsText" text="Nat">
      <formula>NOT(ISERROR(SEARCH("Nat",A142)))</formula>
    </cfRule>
  </conditionalFormatting>
  <conditionalFormatting sqref="G171:I172 G193 G5">
    <cfRule type="containsText" dxfId="16" priority="16" stopIfTrue="1" operator="containsText" text="1">
      <formula>NOT(ISERROR(SEARCH("1",G5)))</formula>
    </cfRule>
  </conditionalFormatting>
  <conditionalFormatting sqref="B193:D194">
    <cfRule type="expression" dxfId="15" priority="11">
      <formula>AND($B$183&lt;&gt;"",$B$183&gt;=1000)</formula>
    </cfRule>
    <cfRule type="expression" dxfId="14" priority="12">
      <formula>AND($B$183&lt;&gt;"",$B$183&gt;=101,$B$183&lt;=999)</formula>
    </cfRule>
    <cfRule type="expression" dxfId="13" priority="13">
      <formula>AND($B$183&lt;&gt;"",$B$183&lt;100)</formula>
    </cfRule>
  </conditionalFormatting>
  <conditionalFormatting sqref="L193:N194 L171 L5">
    <cfRule type="containsText" dxfId="12" priority="8" operator="containsText" text="LOW">
      <formula>NOT(ISERROR(SEARCH("LOW",L5)))</formula>
    </cfRule>
    <cfRule type="containsText" dxfId="11" priority="9" operator="containsText" text="MEDIUM">
      <formula>NOT(ISERROR(SEARCH("MEDIUM",L5)))</formula>
    </cfRule>
    <cfRule type="containsText" dxfId="10" priority="10" operator="containsText" text="HIGH">
      <formula>NOT(ISERROR(SEARCH("HIGH",L5)))</formula>
    </cfRule>
  </conditionalFormatting>
  <conditionalFormatting sqref="G193:I194">
    <cfRule type="expression" dxfId="9" priority="6">
      <formula>AND($G193="Category 2",$L193="LOW")</formula>
    </cfRule>
    <cfRule type="expression" dxfId="8" priority="7">
      <formula>AND($G193="Category 2",$L193="MEDIUM")</formula>
    </cfRule>
  </conditionalFormatting>
  <conditionalFormatting sqref="B171:D172 B5">
    <cfRule type="expression" dxfId="7" priority="1" stopIfTrue="1">
      <formula>AND($C$183&lt;&gt;"",$C$183&gt;=101,$C$183&lt;=999)</formula>
    </cfRule>
    <cfRule type="expression" dxfId="6" priority="2" stopIfTrue="1">
      <formula>AND($C$183&lt;&gt;"",$C$183&lt;100)</formula>
    </cfRule>
    <cfRule type="expression" dxfId="5" priority="3">
      <formula>AND($C$183&lt;&gt;"",$C$183&gt;=1000)</formula>
    </cfRule>
  </conditionalFormatting>
  <conditionalFormatting sqref="G171:I172 G5">
    <cfRule type="expression" dxfId="4" priority="4">
      <formula>AND($G$171="Category 2",$L$171="LOW")</formula>
    </cfRule>
    <cfRule type="expression" dxfId="3" priority="5">
      <formula>AND($G$171="Category 2",$L$171="MEDIUM")</formula>
    </cfRule>
  </conditionalFormatting>
  <dataValidations count="2">
    <dataValidation type="custom" allowBlank="1" showInputMessage="1" showErrorMessage="1" sqref="A27:A28 B27:G27" xr:uid="{68412E52-B1E4-41DA-BF23-CF94B31EFE68}">
      <formula1>COUNTIF(#REF!,"X") + COUNTIF($A$27:$G$27,"X") &lt;= 1</formula1>
    </dataValidation>
    <dataValidation type="list" allowBlank="1" showInputMessage="1" showErrorMessage="1" sqref="J47" xr:uid="{211EFFD0-7C45-4751-BBC2-CFB54B06C57A}">
      <formula1>"Baseline Indicator, Guidance Note"</formula1>
    </dataValidation>
  </dataValidations>
  <hyperlinks>
    <hyperlink ref="Q11:V13" r:id="rId1" display="Spooner HHSRS2 Scoring Sheet v2 Instructions - Click Here" xr:uid="{29C26452-898B-4CF6-A42E-EF2E03E6838C}"/>
  </hyperlinks>
  <pageMargins left="0.7" right="0.7" top="0.75" bottom="0.75" header="0.3" footer="0.3"/>
  <pageSetup paperSize="9" scale="34"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71" r:id="rId5" name="Button 47">
              <controlPr defaultSize="0" print="0" autoFill="0" autoPict="0" macro="[0]!PrintFixedRangeToPDF">
                <anchor moveWithCells="1" sizeWithCells="1">
                  <from>
                    <xdr:col>16</xdr:col>
                    <xdr:colOff>0</xdr:colOff>
                    <xdr:row>20</xdr:row>
                    <xdr:rowOff>350520</xdr:rowOff>
                  </from>
                  <to>
                    <xdr:col>22</xdr:col>
                    <xdr:colOff>0</xdr:colOff>
                    <xdr:row>22</xdr:row>
                    <xdr:rowOff>304800</xdr:rowOff>
                  </to>
                </anchor>
              </controlPr>
            </control>
          </mc:Choice>
        </mc:AlternateContent>
        <mc:AlternateContent xmlns:mc="http://schemas.openxmlformats.org/markup-compatibility/2006">
          <mc:Choice Requires="x14">
            <control shapeId="1072" r:id="rId6" name="Button 48">
              <controlPr defaultSize="0" print="0" autoFill="0" autoPict="0" macro="[0]!SaveHazardAndClear">
                <anchor moveWithCells="1" sizeWithCells="1">
                  <from>
                    <xdr:col>16</xdr:col>
                    <xdr:colOff>0</xdr:colOff>
                    <xdr:row>13</xdr:row>
                    <xdr:rowOff>152400</xdr:rowOff>
                  </from>
                  <to>
                    <xdr:col>22</xdr:col>
                    <xdr:colOff>0</xdr:colOff>
                    <xdr:row>15</xdr:row>
                    <xdr:rowOff>0</xdr:rowOff>
                  </to>
                </anchor>
              </controlPr>
            </control>
          </mc:Choice>
        </mc:AlternateContent>
        <mc:AlternateContent xmlns:mc="http://schemas.openxmlformats.org/markup-compatibility/2006">
          <mc:Choice Requires="x14">
            <control shapeId="1073" r:id="rId7" name="Button 49">
              <controlPr defaultSize="0" print="0" autoFill="0" autoPict="0" macro="[0]!ClearAllHazards">
                <anchor moveWithCells="1" sizeWithCells="1">
                  <from>
                    <xdr:col>16</xdr:col>
                    <xdr:colOff>0</xdr:colOff>
                    <xdr:row>17</xdr:row>
                    <xdr:rowOff>45720</xdr:rowOff>
                  </from>
                  <to>
                    <xdr:col>22</xdr:col>
                    <xdr:colOff>0</xdr:colOff>
                    <xdr:row>18</xdr:row>
                    <xdr:rowOff>7620</xdr:rowOff>
                  </to>
                </anchor>
              </controlPr>
            </control>
          </mc:Choice>
        </mc:AlternateContent>
        <mc:AlternateContent xmlns:mc="http://schemas.openxmlformats.org/markup-compatibility/2006">
          <mc:Choice Requires="x14">
            <control shapeId="1074" r:id="rId8" name="Button 50">
              <controlPr defaultSize="0" print="0" autoFill="0" autoPict="0" macro="[0]!LoadHazardFromData">
                <anchor moveWithCells="1" sizeWithCells="1">
                  <from>
                    <xdr:col>16</xdr:col>
                    <xdr:colOff>0</xdr:colOff>
                    <xdr:row>15</xdr:row>
                    <xdr:rowOff>251460</xdr:rowOff>
                  </from>
                  <to>
                    <xdr:col>22</xdr:col>
                    <xdr:colOff>0</xdr:colOff>
                    <xdr:row>16</xdr:row>
                    <xdr:rowOff>213360</xdr:rowOff>
                  </to>
                </anchor>
              </controlPr>
            </control>
          </mc:Choice>
        </mc:AlternateContent>
        <mc:AlternateContent xmlns:mc="http://schemas.openxmlformats.org/markup-compatibility/2006">
          <mc:Choice Requires="x14">
            <control shapeId="1075" r:id="rId9" name="Button 51">
              <controlPr defaultSize="0" print="0" autoFill="0" autoPict="0" macro="[0]!NewProperty">
                <anchor moveWithCells="1" sizeWithCells="1">
                  <from>
                    <xdr:col>16</xdr:col>
                    <xdr:colOff>0</xdr:colOff>
                    <xdr:row>19</xdr:row>
                    <xdr:rowOff>144780</xdr:rowOff>
                  </from>
                  <to>
                    <xdr:col>22</xdr:col>
                    <xdr:colOff>0</xdr:colOff>
                    <xdr:row>20</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 id="{FFE6AB6E-E124-4390-A7E8-180AF1B1D1BD}">
            <xm:f>G5='Helper Cells'!H2</xm:f>
            <x14:dxf>
              <fill>
                <patternFill>
                  <bgColor rgb="FF00B050"/>
                </patternFill>
              </fill>
            </x14:dxf>
          </x14:cfRule>
          <x14:cfRule type="expression" priority="41" stopIfTrue="1" id="{2D73EA5F-CB90-418F-A723-141475AFBE3D}">
            <xm:f>G5='Helper Cells'!H3</xm:f>
            <x14:dxf>
              <fill>
                <patternFill>
                  <bgColor rgb="FFFFC000"/>
                </patternFill>
              </fill>
            </x14:dxf>
          </x14:cfRule>
          <x14:cfRule type="expression" priority="42" stopIfTrue="1" id="{08D79BDB-F616-4191-BE73-F7E4CBFC6957}">
            <xm:f>G5='Helper Cells'!H4</xm:f>
            <x14:dxf>
              <font>
                <color theme="0"/>
              </font>
              <fill>
                <patternFill>
                  <bgColor rgb="FFFF0000"/>
                </patternFill>
              </fill>
            </x14:dxf>
          </x14:cfRule>
          <xm:sqref>G5:I6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82027E17-5E6F-4453-A32C-968C5849802A}">
          <x14:formula1>
            <xm:f>'Helper Cells'!$B$28:$B$36</xm:f>
          </x14:formula1>
          <xm:sqref>I14</xm:sqref>
        </x14:dataValidation>
        <x14:dataValidation type="list" allowBlank="1" showInputMessage="1" showErrorMessage="1" xr:uid="{A327120B-033D-4137-9DA2-EE2D44CD1482}">
          <x14:formula1>
            <xm:f>'Helper Cells'!$A$28:$A$45</xm:f>
          </x14:formula1>
          <xm:sqref>I13</xm:sqref>
        </x14:dataValidation>
        <x14:dataValidation type="list" allowBlank="1" showInputMessage="1" showErrorMessage="1" xr:uid="{5DA79C88-62B4-4739-AF8B-4856E2DAA9CF}">
          <x14:formula1>
            <xm:f>'Helper Cells'!$A$2:$A$23</xm:f>
          </x14:formula1>
          <xm:sqref>D20</xm:sqref>
        </x14:dataValidation>
        <x14:dataValidation type="list" allowBlank="1" showInputMessage="1" showErrorMessage="1" xr:uid="{D2C83A55-75E2-4CD0-85D6-9002138E6AAC}">
          <x14:formula1>
            <xm:f>'Helper Cells'!$Y$30:$Y$46</xm:f>
          </x14:formula1>
          <xm:sqref>L114:M114 E177:F177</xm:sqref>
        </x14:dataValidation>
        <x14:dataValidation type="list" allowBlank="1" showInputMessage="1" showErrorMessage="1" xr:uid="{8131DA11-896B-430E-BD06-599DEFAD97C1}">
          <x14:formula1>
            <xm:f>'Helper Cells'!$AA$30:$AA$42</xm:f>
          </x14:formula1>
          <xm:sqref>N154 I181:P181 N142</xm:sqref>
        </x14:dataValidation>
        <x14:dataValidation type="list" allowBlank="1" showInputMessage="1" showErrorMessage="1" xr:uid="{F38CEBA8-E046-440C-A52F-E134C1AF56C1}">
          <x14:formula1>
            <xm:f>'Helper Cells'!$AA$30:$AA$41</xm:f>
          </x14:formula1>
          <xm:sqref>N146 N150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D26F3-DCD5-46E5-811F-7643A04CB5B5}">
  <sheetPr codeName="Sheet4"/>
  <dimension ref="A1:BU82"/>
  <sheetViews>
    <sheetView workbookViewId="0">
      <selection activeCell="BU1" sqref="BU1:BU1048576"/>
    </sheetView>
  </sheetViews>
  <sheetFormatPr defaultColWidth="11.19921875" defaultRowHeight="15.6" x14ac:dyDescent="0.3"/>
  <cols>
    <col min="1" max="1" width="11.19921875" style="55"/>
    <col min="2" max="2" width="11.19921875" style="56"/>
    <col min="3" max="3" width="27.59765625" style="56" customWidth="1"/>
    <col min="4" max="39" width="4.8984375" style="55" customWidth="1"/>
    <col min="40" max="40" width="5.09765625" style="55" bestFit="1" customWidth="1"/>
    <col min="41" max="41" width="5.59765625" bestFit="1" customWidth="1"/>
    <col min="42" max="48" width="5.09765625" bestFit="1" customWidth="1"/>
    <col min="49" max="60" width="6.09765625" bestFit="1" customWidth="1"/>
    <col min="61" max="61" width="8.59765625" bestFit="1" customWidth="1"/>
    <col min="62" max="62" width="11.8984375" customWidth="1"/>
    <col min="63" max="63" width="12.59765625" bestFit="1" customWidth="1"/>
    <col min="64" max="64" width="11.3984375" bestFit="1" customWidth="1"/>
    <col min="65" max="65" width="11.8984375" bestFit="1" customWidth="1"/>
    <col min="66" max="66" width="14" bestFit="1" customWidth="1"/>
    <col min="67" max="67" width="12.09765625" bestFit="1" customWidth="1"/>
    <col min="68" max="68" width="13.3984375" bestFit="1" customWidth="1"/>
    <col min="69" max="69" width="11" bestFit="1" customWidth="1"/>
    <col min="70" max="70" width="9.69921875" bestFit="1" customWidth="1"/>
    <col min="71" max="71" width="10.19921875" bestFit="1" customWidth="1"/>
    <col min="72" max="72" width="12.19921875" bestFit="1" customWidth="1"/>
    <col min="73" max="73" width="14.19921875" bestFit="1" customWidth="1"/>
  </cols>
  <sheetData>
    <row r="1" spans="1:73" s="85" customFormat="1" x14ac:dyDescent="0.3">
      <c r="A1" s="84" t="s">
        <v>338</v>
      </c>
      <c r="B1" s="84" t="s">
        <v>339</v>
      </c>
      <c r="C1" s="84" t="s">
        <v>702</v>
      </c>
      <c r="D1" s="84" t="s">
        <v>703</v>
      </c>
      <c r="E1" s="84" t="s">
        <v>704</v>
      </c>
      <c r="F1" s="84" t="s">
        <v>705</v>
      </c>
      <c r="G1" s="84" t="s">
        <v>706</v>
      </c>
      <c r="H1" s="84" t="s">
        <v>707</v>
      </c>
      <c r="I1" s="84" t="s">
        <v>708</v>
      </c>
      <c r="J1" s="84" t="s">
        <v>709</v>
      </c>
      <c r="K1" s="84" t="s">
        <v>710</v>
      </c>
      <c r="L1" s="84" t="s">
        <v>711</v>
      </c>
      <c r="M1" s="84" t="s">
        <v>712</v>
      </c>
      <c r="N1" s="84" t="s">
        <v>713</v>
      </c>
      <c r="O1" s="84" t="s">
        <v>714</v>
      </c>
      <c r="P1" s="84" t="s">
        <v>715</v>
      </c>
      <c r="Q1" s="84" t="s">
        <v>716</v>
      </c>
      <c r="R1" s="84" t="s">
        <v>717</v>
      </c>
      <c r="S1" s="84" t="s">
        <v>718</v>
      </c>
      <c r="T1" s="84" t="s">
        <v>719</v>
      </c>
      <c r="U1" s="84" t="s">
        <v>720</v>
      </c>
      <c r="V1" s="84" t="s">
        <v>721</v>
      </c>
      <c r="W1" s="84" t="s">
        <v>722</v>
      </c>
      <c r="X1" s="84" t="s">
        <v>723</v>
      </c>
      <c r="Y1" s="84" t="s">
        <v>724</v>
      </c>
      <c r="Z1" s="84" t="s">
        <v>725</v>
      </c>
      <c r="AA1" s="84" t="s">
        <v>726</v>
      </c>
      <c r="AB1" s="84" t="s">
        <v>727</v>
      </c>
      <c r="AC1" s="84" t="s">
        <v>728</v>
      </c>
      <c r="AD1" s="84" t="s">
        <v>729</v>
      </c>
      <c r="AE1" s="84" t="s">
        <v>730</v>
      </c>
      <c r="AF1" s="84" t="s">
        <v>731</v>
      </c>
      <c r="AG1" s="84" t="s">
        <v>732</v>
      </c>
      <c r="AH1" s="84" t="s">
        <v>733</v>
      </c>
      <c r="AI1" s="84" t="s">
        <v>734</v>
      </c>
      <c r="AJ1" s="84" t="s">
        <v>735</v>
      </c>
      <c r="AK1" s="84" t="s">
        <v>736</v>
      </c>
      <c r="AL1" s="84" t="s">
        <v>737</v>
      </c>
      <c r="AM1" s="84" t="s">
        <v>738</v>
      </c>
      <c r="AN1" s="84" t="s">
        <v>739</v>
      </c>
      <c r="AO1" s="84" t="s">
        <v>740</v>
      </c>
      <c r="AP1" s="84" t="s">
        <v>741</v>
      </c>
      <c r="AQ1" s="84" t="s">
        <v>742</v>
      </c>
      <c r="AR1" s="84" t="s">
        <v>743</v>
      </c>
      <c r="AS1" s="84" t="s">
        <v>744</v>
      </c>
      <c r="AT1" s="84" t="s">
        <v>745</v>
      </c>
      <c r="AU1" s="84" t="s">
        <v>746</v>
      </c>
      <c r="AV1" s="84" t="s">
        <v>747</v>
      </c>
      <c r="AW1" s="84" t="s">
        <v>748</v>
      </c>
      <c r="AX1" s="84" t="s">
        <v>749</v>
      </c>
      <c r="AY1" s="84" t="s">
        <v>750</v>
      </c>
      <c r="AZ1" s="84" t="s">
        <v>751</v>
      </c>
      <c r="BA1" s="84" t="s">
        <v>752</v>
      </c>
      <c r="BB1" s="84" t="s">
        <v>753</v>
      </c>
      <c r="BC1" s="84" t="s">
        <v>754</v>
      </c>
      <c r="BD1" s="84" t="s">
        <v>755</v>
      </c>
      <c r="BE1" s="84" t="s">
        <v>756</v>
      </c>
      <c r="BF1" s="84" t="s">
        <v>757</v>
      </c>
      <c r="BG1" s="84" t="s">
        <v>758</v>
      </c>
      <c r="BH1" s="84" t="s">
        <v>759</v>
      </c>
      <c r="BI1" s="84" t="s">
        <v>760</v>
      </c>
      <c r="BJ1" s="84" t="s">
        <v>340</v>
      </c>
      <c r="BK1" s="84" t="s">
        <v>761</v>
      </c>
      <c r="BL1" s="84" t="s">
        <v>762</v>
      </c>
      <c r="BM1" s="84" t="s">
        <v>763</v>
      </c>
      <c r="BN1" s="139" t="s">
        <v>780</v>
      </c>
      <c r="BO1" s="84" t="s">
        <v>764</v>
      </c>
      <c r="BP1" s="84" t="s">
        <v>765</v>
      </c>
      <c r="BQ1" s="84" t="s">
        <v>766</v>
      </c>
      <c r="BR1" s="84" t="s">
        <v>767</v>
      </c>
      <c r="BS1" s="84" t="s">
        <v>768</v>
      </c>
      <c r="BT1" s="139" t="s">
        <v>781</v>
      </c>
      <c r="BU1" s="84" t="s">
        <v>769</v>
      </c>
    </row>
    <row r="2" spans="1:73" x14ac:dyDescent="0.3">
      <c r="AO2" s="55"/>
      <c r="AP2" s="55"/>
      <c r="AQ2" s="55"/>
      <c r="AR2" s="55"/>
      <c r="AS2" s="55"/>
      <c r="AT2" s="55"/>
      <c r="AU2" s="55"/>
      <c r="AV2" s="55"/>
      <c r="AW2" s="55"/>
      <c r="AX2" s="55"/>
      <c r="AY2" s="55"/>
      <c r="AZ2" s="55"/>
      <c r="BA2" s="55"/>
      <c r="BB2" s="55"/>
      <c r="BC2" s="55"/>
      <c r="BD2" s="55"/>
      <c r="BE2" s="55"/>
      <c r="BF2" s="55"/>
      <c r="BG2" s="55"/>
      <c r="BH2" s="55"/>
      <c r="BI2" s="55"/>
      <c r="BJ2" s="55"/>
      <c r="BK2" s="55"/>
      <c r="BL2" s="55"/>
      <c r="BM2" s="55"/>
      <c r="BN2" s="55"/>
      <c r="BO2" s="55"/>
      <c r="BP2" s="55"/>
      <c r="BQ2" s="55"/>
      <c r="BR2" s="55"/>
      <c r="BS2" s="55"/>
      <c r="BT2" s="55"/>
      <c r="BU2" s="55"/>
    </row>
    <row r="3" spans="1:73" x14ac:dyDescent="0.3">
      <c r="AO3" s="55"/>
      <c r="AP3" s="55"/>
      <c r="AQ3" s="55"/>
      <c r="AR3" s="55"/>
      <c r="AS3" s="55"/>
      <c r="AT3" s="55"/>
      <c r="AU3" s="55"/>
      <c r="AV3" s="55"/>
      <c r="AW3" s="55"/>
      <c r="AX3" s="55"/>
      <c r="AY3" s="55"/>
      <c r="AZ3" s="55"/>
      <c r="BA3" s="55"/>
      <c r="BB3" s="55"/>
      <c r="BC3" s="55"/>
      <c r="BD3" s="55"/>
      <c r="BE3" s="55"/>
      <c r="BF3" s="55"/>
      <c r="BG3" s="55"/>
      <c r="BH3" s="55"/>
      <c r="BI3" s="55"/>
      <c r="BJ3" s="55"/>
      <c r="BK3" s="55"/>
      <c r="BL3" s="55"/>
      <c r="BM3" s="55"/>
      <c r="BN3" s="55"/>
      <c r="BO3" s="55"/>
      <c r="BP3" s="55"/>
      <c r="BQ3" s="55"/>
      <c r="BR3" s="55"/>
      <c r="BS3" s="55"/>
      <c r="BT3" s="55"/>
      <c r="BU3" s="55"/>
    </row>
    <row r="4" spans="1:73" x14ac:dyDescent="0.3">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row>
    <row r="5" spans="1:73" x14ac:dyDescent="0.3">
      <c r="AO5" s="55"/>
      <c r="AP5" s="55"/>
      <c r="AQ5" s="55"/>
      <c r="AR5" s="55"/>
      <c r="AS5" s="55"/>
      <c r="AT5" s="55"/>
      <c r="AU5" s="55"/>
      <c r="AV5" s="55"/>
      <c r="AW5" s="55"/>
      <c r="AX5" s="55"/>
      <c r="AY5" s="55"/>
      <c r="AZ5" s="55"/>
      <c r="BA5" s="55"/>
      <c r="BB5" s="55"/>
      <c r="BC5" s="55"/>
      <c r="BD5" s="55"/>
      <c r="BE5" s="55"/>
      <c r="BF5" s="55"/>
      <c r="BG5" s="55"/>
      <c r="BH5" s="55"/>
      <c r="BI5" s="55"/>
      <c r="BJ5" s="55"/>
      <c r="BK5" s="55"/>
      <c r="BL5" s="55"/>
      <c r="BM5" s="55"/>
      <c r="BN5" s="55"/>
      <c r="BO5" s="55"/>
      <c r="BP5" s="55"/>
      <c r="BQ5" s="55"/>
      <c r="BR5" s="55"/>
      <c r="BS5" s="55"/>
      <c r="BT5" s="55"/>
      <c r="BU5" s="55"/>
    </row>
    <row r="6" spans="1:73" x14ac:dyDescent="0.3">
      <c r="AO6" s="55"/>
      <c r="AP6" s="55"/>
      <c r="AQ6" s="55"/>
      <c r="AR6" s="55"/>
      <c r="AS6" s="55"/>
      <c r="AT6" s="55"/>
      <c r="AU6" s="55"/>
      <c r="AV6" s="55"/>
      <c r="AW6" s="55"/>
      <c r="AX6" s="55"/>
      <c r="AY6" s="55"/>
      <c r="AZ6" s="55"/>
      <c r="BA6" s="55"/>
      <c r="BB6" s="55"/>
      <c r="BC6" s="55"/>
      <c r="BD6" s="55"/>
      <c r="BE6" s="55"/>
      <c r="BF6" s="55"/>
      <c r="BG6" s="55"/>
      <c r="BH6" s="55"/>
      <c r="BI6" s="55"/>
      <c r="BJ6" s="55"/>
      <c r="BK6" s="55"/>
      <c r="BL6" s="55"/>
      <c r="BM6" s="55"/>
      <c r="BN6" s="55"/>
      <c r="BO6" s="55"/>
      <c r="BP6" s="55"/>
      <c r="BQ6" s="55"/>
      <c r="BR6" s="55"/>
      <c r="BS6" s="55"/>
      <c r="BT6" s="55"/>
      <c r="BU6" s="55"/>
    </row>
    <row r="7" spans="1:73" x14ac:dyDescent="0.3">
      <c r="AO7" s="55"/>
      <c r="AP7" s="55"/>
      <c r="AQ7" s="55"/>
      <c r="AR7" s="55"/>
      <c r="AS7" s="55"/>
      <c r="AT7" s="55"/>
      <c r="AU7" s="55"/>
      <c r="AV7" s="55"/>
      <c r="AW7" s="55"/>
      <c r="AX7" s="55"/>
      <c r="AY7" s="55"/>
      <c r="AZ7" s="55"/>
      <c r="BA7" s="55"/>
      <c r="BB7" s="55"/>
      <c r="BC7" s="55"/>
      <c r="BD7" s="55"/>
      <c r="BE7" s="55"/>
      <c r="BF7" s="55"/>
      <c r="BG7" s="55"/>
      <c r="BH7" s="55"/>
      <c r="BI7" s="55"/>
      <c r="BJ7" s="55"/>
      <c r="BK7" s="55"/>
      <c r="BL7" s="55"/>
      <c r="BM7" s="55"/>
      <c r="BN7" s="55"/>
      <c r="BO7" s="55"/>
      <c r="BP7" s="55"/>
      <c r="BQ7" s="55"/>
      <c r="BR7" s="55"/>
      <c r="BS7" s="55"/>
      <c r="BT7" s="55"/>
      <c r="BU7" s="55"/>
    </row>
    <row r="8" spans="1:73" x14ac:dyDescent="0.3">
      <c r="AO8" s="55"/>
      <c r="AP8" s="55"/>
      <c r="AQ8" s="55"/>
      <c r="AR8" s="55"/>
      <c r="AS8" s="55"/>
      <c r="AT8" s="55"/>
      <c r="AU8" s="55"/>
      <c r="AV8" s="55"/>
      <c r="AW8" s="55"/>
      <c r="AX8" s="55"/>
      <c r="AY8" s="55"/>
      <c r="AZ8" s="55"/>
      <c r="BA8" s="55"/>
      <c r="BB8" s="55"/>
      <c r="BC8" s="55"/>
      <c r="BD8" s="55"/>
      <c r="BE8" s="55"/>
      <c r="BF8" s="55"/>
      <c r="BG8" s="55"/>
      <c r="BH8" s="55"/>
      <c r="BI8" s="55"/>
      <c r="BJ8" s="55"/>
      <c r="BK8" s="55"/>
      <c r="BL8" s="55"/>
      <c r="BM8" s="55"/>
      <c r="BN8" s="55"/>
      <c r="BO8" s="55"/>
      <c r="BP8" s="55"/>
      <c r="BQ8" s="55"/>
      <c r="BR8" s="55"/>
      <c r="BS8" s="55"/>
      <c r="BT8" s="55"/>
      <c r="BU8" s="55"/>
    </row>
    <row r="9" spans="1:73" x14ac:dyDescent="0.3">
      <c r="AO9" s="55"/>
      <c r="AP9" s="55"/>
      <c r="AQ9" s="55"/>
      <c r="AR9" s="55"/>
      <c r="AS9" s="55"/>
      <c r="AT9" s="55"/>
      <c r="AU9" s="55"/>
      <c r="AV9" s="55"/>
      <c r="AW9" s="55"/>
      <c r="AX9" s="55"/>
      <c r="AY9" s="55"/>
      <c r="AZ9" s="55"/>
      <c r="BA9" s="55"/>
      <c r="BB9" s="55"/>
      <c r="BC9" s="55"/>
      <c r="BD9" s="55"/>
      <c r="BE9" s="55"/>
      <c r="BF9" s="55"/>
      <c r="BG9" s="55"/>
      <c r="BH9" s="55"/>
      <c r="BI9" s="55"/>
      <c r="BJ9" s="55"/>
      <c r="BK9" s="55"/>
      <c r="BL9" s="55"/>
      <c r="BM9" s="55"/>
      <c r="BN9" s="55"/>
      <c r="BO9" s="55"/>
      <c r="BP9" s="55"/>
      <c r="BQ9" s="55"/>
      <c r="BR9" s="55"/>
      <c r="BS9" s="55"/>
      <c r="BT9" s="55"/>
      <c r="BU9" s="55"/>
    </row>
    <row r="10" spans="1:73" x14ac:dyDescent="0.3">
      <c r="AO10" s="55"/>
      <c r="AP10" s="55"/>
      <c r="AQ10" s="55"/>
      <c r="AR10" s="55"/>
      <c r="AS10" s="55"/>
      <c r="AT10" s="55"/>
      <c r="AU10" s="55"/>
      <c r="AV10" s="55"/>
      <c r="AW10" s="55"/>
      <c r="AX10" s="55"/>
      <c r="AY10" s="55"/>
      <c r="AZ10" s="55"/>
      <c r="BA10" s="55"/>
      <c r="BB10" s="55"/>
      <c r="BC10" s="55"/>
      <c r="BD10" s="55"/>
      <c r="BE10" s="55"/>
      <c r="BF10" s="55"/>
      <c r="BG10" s="55"/>
      <c r="BH10" s="55"/>
      <c r="BI10" s="55"/>
      <c r="BJ10" s="55"/>
      <c r="BK10" s="55"/>
      <c r="BL10" s="55"/>
      <c r="BM10" s="55"/>
      <c r="BN10" s="55"/>
      <c r="BO10" s="55"/>
      <c r="BP10" s="55"/>
      <c r="BQ10" s="55"/>
      <c r="BR10" s="55"/>
      <c r="BS10" s="55"/>
      <c r="BT10" s="55"/>
      <c r="BU10" s="55"/>
    </row>
    <row r="11" spans="1:73" x14ac:dyDescent="0.3">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row>
    <row r="12" spans="1:73" x14ac:dyDescent="0.3">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row>
    <row r="13" spans="1:73" x14ac:dyDescent="0.3">
      <c r="AO13" s="55"/>
      <c r="AP13" s="55"/>
      <c r="AQ13" s="55"/>
      <c r="AR13" s="55"/>
      <c r="AS13" s="55"/>
      <c r="AT13" s="55"/>
      <c r="AU13" s="55"/>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c r="BT13" s="55"/>
      <c r="BU13" s="55"/>
    </row>
    <row r="14" spans="1:73" x14ac:dyDescent="0.3">
      <c r="AO14" s="55"/>
      <c r="AP14" s="55"/>
      <c r="AQ14" s="55"/>
      <c r="AR14" s="55"/>
      <c r="AS14" s="55"/>
      <c r="AT14" s="55"/>
      <c r="AU14" s="55"/>
      <c r="AV14" s="55"/>
      <c r="AW14" s="55"/>
      <c r="AX14" s="55"/>
      <c r="AY14" s="55"/>
      <c r="AZ14" s="55"/>
      <c r="BA14" s="55"/>
      <c r="BB14" s="55"/>
      <c r="BC14" s="55"/>
      <c r="BD14" s="55"/>
      <c r="BE14" s="55"/>
      <c r="BF14" s="55"/>
      <c r="BG14" s="55"/>
      <c r="BH14" s="55"/>
      <c r="BI14" s="55"/>
      <c r="BJ14" s="55"/>
      <c r="BK14" s="55"/>
      <c r="BL14" s="55"/>
      <c r="BM14" s="55"/>
      <c r="BN14" s="55"/>
      <c r="BO14" s="55"/>
      <c r="BP14" s="55"/>
      <c r="BQ14" s="55"/>
      <c r="BR14" s="55"/>
      <c r="BS14" s="55"/>
      <c r="BT14" s="55"/>
      <c r="BU14" s="55"/>
    </row>
    <row r="15" spans="1:73" x14ac:dyDescent="0.3">
      <c r="AO15" s="55"/>
      <c r="AP15" s="55"/>
      <c r="AQ15" s="55"/>
      <c r="AR15" s="55"/>
      <c r="AS15" s="55"/>
      <c r="AT15" s="55"/>
      <c r="AU15" s="55"/>
      <c r="AV15" s="55"/>
      <c r="AW15" s="55"/>
      <c r="AX15" s="55"/>
      <c r="AY15" s="55"/>
      <c r="AZ15" s="55"/>
      <c r="BA15" s="55"/>
      <c r="BB15" s="55"/>
      <c r="BC15" s="55"/>
      <c r="BD15" s="55"/>
      <c r="BE15" s="55"/>
      <c r="BF15" s="55"/>
      <c r="BG15" s="55"/>
      <c r="BH15" s="55"/>
      <c r="BI15" s="55"/>
      <c r="BJ15" s="55"/>
      <c r="BK15" s="55"/>
      <c r="BL15" s="55"/>
      <c r="BM15" s="55"/>
      <c r="BN15" s="55"/>
      <c r="BO15" s="55"/>
      <c r="BP15" s="55"/>
      <c r="BQ15" s="55"/>
      <c r="BR15" s="55"/>
      <c r="BS15" s="55"/>
      <c r="BT15" s="55"/>
      <c r="BU15" s="55"/>
    </row>
    <row r="16" spans="1:73" x14ac:dyDescent="0.3">
      <c r="AO16" s="55"/>
      <c r="AP16" s="55"/>
      <c r="AQ16" s="55"/>
      <c r="AR16" s="55"/>
      <c r="AS16" s="55"/>
      <c r="AT16" s="55"/>
      <c r="AU16" s="55"/>
      <c r="AV16" s="55"/>
      <c r="AW16" s="55"/>
      <c r="AX16" s="55"/>
      <c r="AY16" s="55"/>
      <c r="AZ16" s="55"/>
      <c r="BA16" s="55"/>
      <c r="BB16" s="55"/>
      <c r="BC16" s="55"/>
      <c r="BD16" s="55"/>
      <c r="BE16" s="55"/>
      <c r="BF16" s="55"/>
      <c r="BG16" s="55"/>
      <c r="BH16" s="55"/>
      <c r="BI16" s="55"/>
      <c r="BJ16" s="55"/>
      <c r="BK16" s="55"/>
      <c r="BL16" s="55"/>
      <c r="BM16" s="55"/>
      <c r="BN16" s="55"/>
      <c r="BO16" s="55"/>
      <c r="BP16" s="55"/>
      <c r="BQ16" s="55"/>
      <c r="BR16" s="55"/>
      <c r="BS16" s="55"/>
      <c r="BT16" s="55"/>
      <c r="BU16" s="55"/>
    </row>
    <row r="17" spans="41:73" x14ac:dyDescent="0.3">
      <c r="AO17" s="55"/>
      <c r="AP17" s="55"/>
      <c r="AQ17" s="55"/>
      <c r="AR17" s="55"/>
      <c r="AS17" s="55"/>
      <c r="AT17" s="55"/>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row>
    <row r="18" spans="41:73" x14ac:dyDescent="0.3">
      <c r="AO18" s="55"/>
      <c r="AP18" s="55"/>
      <c r="AQ18" s="55"/>
      <c r="AR18" s="55"/>
      <c r="AS18" s="55"/>
      <c r="AT18" s="55"/>
      <c r="AU18" s="55"/>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row>
    <row r="19" spans="41:73" x14ac:dyDescent="0.3">
      <c r="AO19" s="55"/>
      <c r="AP19" s="55"/>
      <c r="AQ19" s="55"/>
      <c r="AR19" s="55"/>
      <c r="AS19" s="55"/>
      <c r="AT19" s="55"/>
      <c r="AU19" s="55"/>
      <c r="AV19" s="55"/>
      <c r="AW19" s="55"/>
      <c r="AX19" s="55"/>
      <c r="AY19" s="55"/>
      <c r="AZ19" s="55"/>
      <c r="BA19" s="55"/>
      <c r="BB19" s="55"/>
      <c r="BC19" s="55"/>
      <c r="BD19" s="55"/>
      <c r="BE19" s="55"/>
      <c r="BF19" s="55"/>
      <c r="BG19" s="55"/>
      <c r="BH19" s="55"/>
      <c r="BI19" s="55"/>
      <c r="BJ19" s="55"/>
      <c r="BK19" s="55"/>
      <c r="BL19" s="55"/>
      <c r="BM19" s="55"/>
      <c r="BN19" s="55"/>
      <c r="BO19" s="55"/>
      <c r="BP19" s="55"/>
      <c r="BQ19" s="55"/>
      <c r="BR19" s="55"/>
      <c r="BS19" s="55"/>
      <c r="BT19" s="55"/>
      <c r="BU19" s="55"/>
    </row>
    <row r="20" spans="41:73" x14ac:dyDescent="0.3">
      <c r="AO20" s="55"/>
      <c r="AP20" s="55"/>
      <c r="AQ20" s="55"/>
      <c r="AR20" s="55"/>
      <c r="AS20" s="55"/>
      <c r="AT20" s="55"/>
      <c r="AU20" s="55"/>
      <c r="AV20" s="55"/>
      <c r="AW20" s="55"/>
      <c r="AX20" s="55"/>
      <c r="AY20" s="55"/>
      <c r="AZ20" s="55"/>
      <c r="BA20" s="55"/>
      <c r="BB20" s="55"/>
      <c r="BC20" s="55"/>
      <c r="BD20" s="55"/>
      <c r="BE20" s="55"/>
      <c r="BF20" s="55"/>
      <c r="BG20" s="55"/>
      <c r="BH20" s="55"/>
      <c r="BI20" s="55"/>
      <c r="BJ20" s="55"/>
      <c r="BK20" s="55"/>
      <c r="BL20" s="55"/>
      <c r="BM20" s="55"/>
      <c r="BN20" s="55"/>
      <c r="BO20" s="55"/>
      <c r="BP20" s="55"/>
      <c r="BQ20" s="55"/>
      <c r="BR20" s="55"/>
      <c r="BS20" s="55"/>
      <c r="BT20" s="55"/>
      <c r="BU20" s="55"/>
    </row>
    <row r="21" spans="41:73" x14ac:dyDescent="0.3">
      <c r="AO21" s="55"/>
      <c r="AP21" s="55"/>
      <c r="AQ21" s="55"/>
      <c r="AR21" s="55"/>
      <c r="AS21" s="55"/>
      <c r="AT21" s="55"/>
      <c r="AU21" s="55"/>
      <c r="AV21" s="55"/>
      <c r="AW21" s="55"/>
      <c r="AX21" s="55"/>
      <c r="AY21" s="55"/>
      <c r="AZ21" s="55"/>
      <c r="BA21" s="55"/>
      <c r="BB21" s="55"/>
      <c r="BC21" s="55"/>
      <c r="BD21" s="55"/>
      <c r="BE21" s="55"/>
      <c r="BF21" s="55"/>
      <c r="BG21" s="55"/>
      <c r="BH21" s="55"/>
      <c r="BI21" s="55"/>
      <c r="BJ21" s="55"/>
      <c r="BK21" s="55"/>
      <c r="BL21" s="55"/>
      <c r="BM21" s="55"/>
      <c r="BN21" s="55"/>
      <c r="BO21" s="55"/>
      <c r="BP21" s="55"/>
      <c r="BQ21" s="55"/>
      <c r="BR21" s="55"/>
      <c r="BS21" s="55"/>
      <c r="BT21" s="55"/>
      <c r="BU21" s="55"/>
    </row>
    <row r="22" spans="41:73" x14ac:dyDescent="0.3">
      <c r="AO22" s="55"/>
      <c r="AP22" s="55"/>
      <c r="AQ22" s="55"/>
      <c r="AR22" s="55"/>
      <c r="AS22" s="55"/>
      <c r="AT22" s="55"/>
      <c r="AU22" s="55"/>
      <c r="AV22" s="55"/>
      <c r="AW22" s="55"/>
      <c r="AX22" s="55"/>
      <c r="AY22" s="55"/>
      <c r="AZ22" s="55"/>
      <c r="BA22" s="55"/>
      <c r="BB22" s="55"/>
      <c r="BC22" s="55"/>
      <c r="BD22" s="55"/>
      <c r="BE22" s="55"/>
      <c r="BF22" s="55"/>
      <c r="BG22" s="55"/>
      <c r="BH22" s="55"/>
      <c r="BI22" s="55"/>
      <c r="BJ22" s="55"/>
      <c r="BK22" s="55"/>
      <c r="BL22" s="55"/>
      <c r="BM22" s="55"/>
      <c r="BN22" s="55"/>
      <c r="BO22" s="55"/>
      <c r="BP22" s="55"/>
      <c r="BQ22" s="55"/>
      <c r="BR22" s="55"/>
      <c r="BS22" s="55"/>
      <c r="BT22" s="55"/>
      <c r="BU22" s="55"/>
    </row>
    <row r="23" spans="41:73" x14ac:dyDescent="0.3">
      <c r="AO23" s="55"/>
      <c r="AP23" s="55"/>
      <c r="AQ23" s="55"/>
      <c r="AR23" s="55"/>
      <c r="AS23" s="55"/>
      <c r="AT23" s="55"/>
      <c r="AU23" s="55"/>
      <c r="AV23" s="55"/>
      <c r="AW23" s="55"/>
      <c r="AX23" s="55"/>
      <c r="AY23" s="55"/>
      <c r="AZ23" s="55"/>
      <c r="BA23" s="55"/>
      <c r="BB23" s="55"/>
      <c r="BC23" s="55"/>
      <c r="BD23" s="55"/>
      <c r="BE23" s="55"/>
      <c r="BF23" s="55"/>
      <c r="BG23" s="55"/>
      <c r="BH23" s="55"/>
      <c r="BI23" s="55"/>
      <c r="BJ23" s="55"/>
      <c r="BK23" s="55"/>
      <c r="BL23" s="55"/>
      <c r="BM23" s="55"/>
      <c r="BN23" s="55"/>
      <c r="BO23" s="55"/>
      <c r="BP23" s="55"/>
      <c r="BQ23" s="55"/>
      <c r="BR23" s="55"/>
      <c r="BS23" s="55"/>
      <c r="BT23" s="55"/>
      <c r="BU23" s="55"/>
    </row>
    <row r="24" spans="41:73" x14ac:dyDescent="0.3">
      <c r="AO24" s="55"/>
      <c r="AP24" s="55"/>
      <c r="AQ24" s="55"/>
      <c r="AR24" s="55"/>
      <c r="AS24" s="55"/>
      <c r="AT24" s="55"/>
      <c r="AU24" s="55"/>
      <c r="AV24" s="55"/>
      <c r="AW24" s="55"/>
      <c r="AX24" s="55"/>
      <c r="AY24" s="55"/>
      <c r="AZ24" s="55"/>
      <c r="BA24" s="55"/>
      <c r="BB24" s="55"/>
      <c r="BC24" s="55"/>
      <c r="BD24" s="55"/>
      <c r="BE24" s="55"/>
      <c r="BF24" s="55"/>
      <c r="BG24" s="55"/>
      <c r="BH24" s="55"/>
      <c r="BI24" s="55"/>
      <c r="BJ24" s="55"/>
      <c r="BK24" s="55"/>
      <c r="BL24" s="55"/>
      <c r="BM24" s="55"/>
      <c r="BN24" s="55"/>
      <c r="BO24" s="55"/>
      <c r="BP24" s="55"/>
      <c r="BQ24" s="55"/>
      <c r="BR24" s="55"/>
      <c r="BS24" s="55"/>
      <c r="BT24" s="55"/>
      <c r="BU24" s="55"/>
    </row>
    <row r="25" spans="41:73" x14ac:dyDescent="0.3">
      <c r="AO25" s="55"/>
      <c r="AP25" s="55"/>
      <c r="AQ25" s="55"/>
      <c r="AR25" s="55"/>
      <c r="AS25" s="55"/>
      <c r="AT25" s="55"/>
      <c r="AU25" s="55"/>
      <c r="AV25" s="55"/>
      <c r="AW25" s="55"/>
      <c r="AX25" s="55"/>
      <c r="AY25" s="55"/>
      <c r="AZ25" s="55"/>
      <c r="BA25" s="55"/>
      <c r="BB25" s="55"/>
      <c r="BC25" s="55"/>
      <c r="BD25" s="55"/>
      <c r="BE25" s="55"/>
      <c r="BF25" s="55"/>
      <c r="BG25" s="55"/>
      <c r="BH25" s="55"/>
      <c r="BI25" s="55"/>
      <c r="BJ25" s="55"/>
      <c r="BK25" s="55"/>
      <c r="BL25" s="55"/>
      <c r="BM25" s="55"/>
      <c r="BN25" s="55"/>
      <c r="BO25" s="55"/>
      <c r="BP25" s="55"/>
      <c r="BQ25" s="55"/>
      <c r="BR25" s="55"/>
      <c r="BS25" s="55"/>
      <c r="BT25" s="55"/>
      <c r="BU25" s="55"/>
    </row>
    <row r="26" spans="41:73" x14ac:dyDescent="0.3">
      <c r="AO26" s="55"/>
      <c r="AP26" s="55"/>
      <c r="AQ26" s="55"/>
      <c r="AR26" s="55"/>
      <c r="AS26" s="55"/>
      <c r="AT26" s="55"/>
      <c r="AU26" s="55"/>
      <c r="AV26" s="55"/>
      <c r="AW26" s="55"/>
      <c r="AX26" s="55"/>
      <c r="AY26" s="55"/>
      <c r="AZ26" s="55"/>
      <c r="BA26" s="55"/>
      <c r="BB26" s="55"/>
      <c r="BC26" s="55"/>
      <c r="BD26" s="55"/>
      <c r="BE26" s="55"/>
      <c r="BF26" s="55"/>
      <c r="BG26" s="55"/>
      <c r="BH26" s="55"/>
      <c r="BI26" s="55"/>
      <c r="BJ26" s="55"/>
      <c r="BK26" s="55"/>
      <c r="BL26" s="55"/>
      <c r="BM26" s="55"/>
      <c r="BN26" s="55"/>
      <c r="BO26" s="55"/>
      <c r="BP26" s="55"/>
      <c r="BQ26" s="55"/>
      <c r="BR26" s="55"/>
      <c r="BS26" s="55"/>
      <c r="BT26" s="55"/>
      <c r="BU26" s="55"/>
    </row>
    <row r="27" spans="41:73" x14ac:dyDescent="0.3">
      <c r="AO27" s="55"/>
      <c r="AP27" s="55"/>
      <c r="AQ27" s="55"/>
      <c r="AR27" s="55"/>
      <c r="AS27" s="55"/>
      <c r="AT27" s="55"/>
      <c r="AU27" s="55"/>
      <c r="AV27" s="55"/>
      <c r="AW27" s="55"/>
      <c r="AX27" s="55"/>
      <c r="AY27" s="55"/>
      <c r="AZ27" s="55"/>
      <c r="BA27" s="55"/>
      <c r="BB27" s="55"/>
      <c r="BC27" s="55"/>
      <c r="BD27" s="55"/>
      <c r="BE27" s="55"/>
      <c r="BF27" s="55"/>
      <c r="BG27" s="55"/>
      <c r="BH27" s="55"/>
      <c r="BI27" s="55"/>
      <c r="BJ27" s="55"/>
      <c r="BK27" s="55"/>
      <c r="BL27" s="55"/>
      <c r="BM27" s="55"/>
      <c r="BN27" s="55"/>
      <c r="BO27" s="55"/>
      <c r="BP27" s="55"/>
      <c r="BQ27" s="55"/>
      <c r="BR27" s="55"/>
      <c r="BS27" s="55"/>
      <c r="BT27" s="55"/>
      <c r="BU27" s="55"/>
    </row>
    <row r="28" spans="41:73" x14ac:dyDescent="0.3">
      <c r="AO28" s="55"/>
      <c r="AP28" s="55"/>
      <c r="AQ28" s="55"/>
      <c r="AR28" s="55"/>
      <c r="AS28" s="55"/>
      <c r="AT28" s="55"/>
      <c r="AU28" s="55"/>
      <c r="AV28" s="55"/>
      <c r="AW28" s="55"/>
      <c r="AX28" s="55"/>
      <c r="AY28" s="55"/>
      <c r="AZ28" s="55"/>
      <c r="BA28" s="55"/>
      <c r="BB28" s="55"/>
      <c r="BC28" s="55"/>
      <c r="BD28" s="55"/>
      <c r="BE28" s="55"/>
      <c r="BF28" s="55"/>
      <c r="BG28" s="55"/>
      <c r="BH28" s="55"/>
      <c r="BI28" s="55"/>
      <c r="BJ28" s="55"/>
      <c r="BK28" s="55"/>
      <c r="BL28" s="55"/>
      <c r="BM28" s="55"/>
      <c r="BN28" s="55"/>
      <c r="BO28" s="55"/>
      <c r="BP28" s="55"/>
      <c r="BQ28" s="55"/>
      <c r="BR28" s="55"/>
      <c r="BS28" s="55"/>
      <c r="BT28" s="55"/>
      <c r="BU28" s="55"/>
    </row>
    <row r="29" spans="41:73" x14ac:dyDescent="0.3">
      <c r="AO29" s="55"/>
      <c r="AP29" s="55"/>
      <c r="AQ29" s="55"/>
      <c r="AR29" s="55"/>
      <c r="AS29" s="55"/>
      <c r="AT29" s="55"/>
      <c r="AU29" s="55"/>
      <c r="AV29" s="55"/>
      <c r="AW29" s="55"/>
      <c r="AX29" s="55"/>
      <c r="AY29" s="55"/>
      <c r="AZ29" s="55"/>
      <c r="BA29" s="55"/>
      <c r="BB29" s="55"/>
      <c r="BC29" s="55"/>
      <c r="BD29" s="55"/>
      <c r="BE29" s="55"/>
      <c r="BF29" s="55"/>
      <c r="BG29" s="55"/>
      <c r="BH29" s="55"/>
      <c r="BI29" s="55"/>
      <c r="BJ29" s="55"/>
      <c r="BK29" s="55"/>
      <c r="BL29" s="55"/>
      <c r="BM29" s="55"/>
      <c r="BN29" s="55"/>
      <c r="BO29" s="55"/>
      <c r="BP29" s="55"/>
      <c r="BQ29" s="55"/>
      <c r="BR29" s="55"/>
      <c r="BS29" s="55"/>
      <c r="BT29" s="55"/>
      <c r="BU29" s="55"/>
    </row>
    <row r="30" spans="41:73" x14ac:dyDescent="0.3">
      <c r="AO30" s="55"/>
      <c r="AP30" s="55"/>
      <c r="AQ30" s="55"/>
      <c r="AR30" s="55"/>
      <c r="AS30" s="55"/>
      <c r="AT30" s="55"/>
      <c r="AU30" s="55"/>
      <c r="AV30" s="55"/>
      <c r="AW30" s="55"/>
      <c r="AX30" s="55"/>
      <c r="AY30" s="55"/>
      <c r="AZ30" s="55"/>
      <c r="BA30" s="55"/>
      <c r="BB30" s="55"/>
      <c r="BC30" s="55"/>
      <c r="BD30" s="55"/>
      <c r="BE30" s="55"/>
      <c r="BF30" s="55"/>
      <c r="BG30" s="55"/>
      <c r="BH30" s="55"/>
      <c r="BI30" s="55"/>
      <c r="BJ30" s="55"/>
      <c r="BK30" s="55"/>
      <c r="BL30" s="55"/>
      <c r="BM30" s="55"/>
      <c r="BN30" s="55"/>
      <c r="BO30" s="55"/>
      <c r="BP30" s="55"/>
      <c r="BQ30" s="55"/>
      <c r="BR30" s="55"/>
      <c r="BS30" s="55"/>
      <c r="BT30" s="55"/>
      <c r="BU30" s="55"/>
    </row>
    <row r="31" spans="41:73" x14ac:dyDescent="0.3">
      <c r="AO31" s="55"/>
      <c r="AP31" s="55"/>
      <c r="AQ31" s="55"/>
      <c r="AR31" s="55"/>
      <c r="AS31" s="55"/>
      <c r="AT31" s="55"/>
      <c r="AU31" s="55"/>
      <c r="AV31" s="55"/>
      <c r="AW31" s="55"/>
      <c r="AX31" s="55"/>
      <c r="AY31" s="55"/>
      <c r="AZ31" s="55"/>
      <c r="BA31" s="55"/>
      <c r="BB31" s="55"/>
      <c r="BC31" s="55"/>
      <c r="BD31" s="55"/>
      <c r="BE31" s="55"/>
      <c r="BF31" s="55"/>
      <c r="BG31" s="55"/>
      <c r="BH31" s="55"/>
      <c r="BI31" s="55"/>
      <c r="BJ31" s="55"/>
      <c r="BK31" s="55"/>
      <c r="BL31" s="55"/>
      <c r="BM31" s="55"/>
      <c r="BN31" s="55"/>
      <c r="BO31" s="55"/>
      <c r="BP31" s="55"/>
      <c r="BQ31" s="55"/>
      <c r="BR31" s="55"/>
      <c r="BS31" s="55"/>
      <c r="BT31" s="55"/>
      <c r="BU31" s="55"/>
    </row>
    <row r="32" spans="41:73" x14ac:dyDescent="0.3">
      <c r="AO32" s="55"/>
      <c r="AP32" s="55"/>
      <c r="AQ32" s="55"/>
      <c r="AR32" s="55"/>
      <c r="AS32" s="55"/>
      <c r="AT32" s="55"/>
      <c r="AU32" s="55"/>
      <c r="AV32" s="55"/>
      <c r="AW32" s="55"/>
      <c r="AX32" s="55"/>
      <c r="AY32" s="55"/>
      <c r="AZ32" s="55"/>
      <c r="BA32" s="55"/>
      <c r="BB32" s="55"/>
      <c r="BC32" s="55"/>
      <c r="BD32" s="55"/>
      <c r="BE32" s="55"/>
      <c r="BF32" s="55"/>
      <c r="BG32" s="55"/>
      <c r="BH32" s="55"/>
      <c r="BI32" s="55"/>
      <c r="BJ32" s="55"/>
      <c r="BK32" s="55"/>
      <c r="BL32" s="55"/>
      <c r="BM32" s="55"/>
      <c r="BN32" s="55"/>
      <c r="BO32" s="55"/>
      <c r="BP32" s="55"/>
      <c r="BQ32" s="55"/>
      <c r="BR32" s="55"/>
      <c r="BS32" s="55"/>
      <c r="BT32" s="55"/>
      <c r="BU32" s="55"/>
    </row>
    <row r="33" spans="41:73" x14ac:dyDescent="0.3">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row>
    <row r="34" spans="41:73" x14ac:dyDescent="0.3">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row>
    <row r="35" spans="41:73" x14ac:dyDescent="0.3">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row>
    <row r="36" spans="41:73" x14ac:dyDescent="0.3">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row>
    <row r="37" spans="41:73" x14ac:dyDescent="0.3">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row>
    <row r="38" spans="41:73" x14ac:dyDescent="0.3">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row>
    <row r="39" spans="41:73" x14ac:dyDescent="0.3">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row>
    <row r="40" spans="41:73" x14ac:dyDescent="0.3">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row>
    <row r="41" spans="41:73" x14ac:dyDescent="0.3">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row>
    <row r="42" spans="41:73" x14ac:dyDescent="0.3">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row>
    <row r="43" spans="41:73" x14ac:dyDescent="0.3">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row>
    <row r="44" spans="41:73" x14ac:dyDescent="0.3">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row>
    <row r="45" spans="41:73" x14ac:dyDescent="0.3">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row>
    <row r="46" spans="41:73" x14ac:dyDescent="0.3">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row>
    <row r="47" spans="41:73" x14ac:dyDescent="0.3">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row>
    <row r="48" spans="41:73" x14ac:dyDescent="0.3">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row>
    <row r="49" spans="41:73" x14ac:dyDescent="0.3">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row>
    <row r="50" spans="41:73" x14ac:dyDescent="0.3">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row>
    <row r="51" spans="41:73" x14ac:dyDescent="0.3">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row>
    <row r="52" spans="41:73" x14ac:dyDescent="0.3">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row>
    <row r="53" spans="41:73" x14ac:dyDescent="0.3">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row>
    <row r="54" spans="41:73" x14ac:dyDescent="0.3">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row>
    <row r="55" spans="41:73" x14ac:dyDescent="0.3">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row>
    <row r="56" spans="41:73" x14ac:dyDescent="0.3">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row>
    <row r="57" spans="41:73" x14ac:dyDescent="0.3">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row>
    <row r="58" spans="41:73" x14ac:dyDescent="0.3">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row>
    <row r="59" spans="41:73" x14ac:dyDescent="0.3">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row>
    <row r="60" spans="41:73" x14ac:dyDescent="0.3">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row>
    <row r="61" spans="41:73" x14ac:dyDescent="0.3">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row>
    <row r="62" spans="41:73" x14ac:dyDescent="0.3">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row>
    <row r="63" spans="41:73" x14ac:dyDescent="0.3">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row>
    <row r="64" spans="41:73" x14ac:dyDescent="0.3">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row>
    <row r="65" spans="41:73" x14ac:dyDescent="0.3">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row>
    <row r="66" spans="41:73" x14ac:dyDescent="0.3">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row>
    <row r="67" spans="41:73" x14ac:dyDescent="0.3">
      <c r="AO67" s="55"/>
      <c r="AP67" s="55"/>
      <c r="AQ67" s="55"/>
      <c r="AR67" s="55"/>
      <c r="AS67" s="55"/>
      <c r="AT67" s="55"/>
      <c r="AU67" s="55"/>
      <c r="AV67" s="55"/>
      <c r="AW67" s="55"/>
      <c r="AX67" s="55"/>
      <c r="AY67" s="55"/>
      <c r="AZ67" s="55"/>
      <c r="BA67" s="55"/>
      <c r="BB67" s="55"/>
      <c r="BC67" s="55"/>
      <c r="BD67" s="55"/>
      <c r="BE67" s="55"/>
      <c r="BF67" s="55"/>
      <c r="BG67" s="55"/>
      <c r="BH67" s="55"/>
      <c r="BI67" s="55"/>
      <c r="BJ67" s="55"/>
      <c r="BK67" s="55"/>
      <c r="BL67" s="55"/>
      <c r="BM67" s="55"/>
      <c r="BN67" s="55"/>
      <c r="BO67" s="55"/>
      <c r="BP67" s="55"/>
      <c r="BQ67" s="55"/>
      <c r="BR67" s="55"/>
      <c r="BS67" s="55"/>
      <c r="BT67" s="55"/>
      <c r="BU67" s="55"/>
    </row>
    <row r="68" spans="41:73" x14ac:dyDescent="0.3">
      <c r="AO68" s="55"/>
      <c r="AP68" s="55"/>
      <c r="AQ68" s="55"/>
      <c r="AR68" s="55"/>
      <c r="AS68" s="55"/>
      <c r="AT68" s="55"/>
      <c r="AU68" s="55"/>
      <c r="AV68" s="55"/>
      <c r="AW68" s="55"/>
      <c r="AX68" s="55"/>
      <c r="AY68" s="55"/>
      <c r="AZ68" s="55"/>
      <c r="BA68" s="55"/>
      <c r="BB68" s="55"/>
      <c r="BC68" s="55"/>
      <c r="BD68" s="55"/>
      <c r="BE68" s="55"/>
      <c r="BF68" s="55"/>
      <c r="BG68" s="55"/>
      <c r="BH68" s="55"/>
      <c r="BI68" s="55"/>
      <c r="BJ68" s="55"/>
      <c r="BK68" s="55"/>
      <c r="BL68" s="55"/>
      <c r="BM68" s="55"/>
      <c r="BN68" s="55"/>
      <c r="BO68" s="55"/>
      <c r="BP68" s="55"/>
      <c r="BQ68" s="55"/>
      <c r="BR68" s="55"/>
      <c r="BS68" s="55"/>
      <c r="BT68" s="55"/>
      <c r="BU68" s="55"/>
    </row>
    <row r="69" spans="41:73" x14ac:dyDescent="0.3">
      <c r="AO69" s="55"/>
      <c r="AP69" s="55"/>
      <c r="AQ69" s="55"/>
      <c r="AR69" s="55"/>
      <c r="AS69" s="55"/>
      <c r="AT69" s="55"/>
      <c r="AU69" s="55"/>
      <c r="AV69" s="55"/>
      <c r="AW69" s="55"/>
      <c r="AX69" s="55"/>
      <c r="AY69" s="55"/>
      <c r="AZ69" s="55"/>
      <c r="BA69" s="55"/>
      <c r="BB69" s="55"/>
      <c r="BC69" s="55"/>
      <c r="BD69" s="55"/>
      <c r="BE69" s="55"/>
      <c r="BF69" s="55"/>
      <c r="BG69" s="55"/>
      <c r="BH69" s="55"/>
      <c r="BI69" s="55"/>
      <c r="BJ69" s="55"/>
      <c r="BK69" s="55"/>
      <c r="BL69" s="55"/>
      <c r="BM69" s="55"/>
      <c r="BN69" s="55"/>
      <c r="BO69" s="55"/>
      <c r="BP69" s="55"/>
      <c r="BQ69" s="55"/>
      <c r="BR69" s="55"/>
      <c r="BS69" s="55"/>
      <c r="BT69" s="55"/>
      <c r="BU69" s="55"/>
    </row>
    <row r="70" spans="41:73" x14ac:dyDescent="0.3">
      <c r="AO70" s="55"/>
      <c r="AP70" s="55"/>
      <c r="AQ70" s="55"/>
      <c r="AR70" s="55"/>
      <c r="AS70" s="55"/>
      <c r="AT70" s="55"/>
      <c r="AU70" s="55"/>
      <c r="AV70" s="55"/>
      <c r="AW70" s="55"/>
      <c r="AX70" s="55"/>
      <c r="AY70" s="55"/>
      <c r="AZ70" s="55"/>
      <c r="BA70" s="55"/>
      <c r="BB70" s="55"/>
      <c r="BC70" s="55"/>
      <c r="BD70" s="55"/>
      <c r="BE70" s="55"/>
      <c r="BF70" s="55"/>
      <c r="BG70" s="55"/>
      <c r="BH70" s="55"/>
      <c r="BI70" s="55"/>
      <c r="BJ70" s="55"/>
      <c r="BK70" s="55"/>
      <c r="BL70" s="55"/>
      <c r="BM70" s="55"/>
      <c r="BN70" s="55"/>
      <c r="BO70" s="55"/>
      <c r="BP70" s="55"/>
      <c r="BQ70" s="55"/>
      <c r="BR70" s="55"/>
      <c r="BS70" s="55"/>
      <c r="BT70" s="55"/>
      <c r="BU70" s="55"/>
    </row>
    <row r="71" spans="41:73" x14ac:dyDescent="0.3">
      <c r="AO71" s="55"/>
      <c r="AP71" s="55"/>
      <c r="AQ71" s="55"/>
      <c r="AR71" s="55"/>
      <c r="AS71" s="55"/>
      <c r="AT71" s="55"/>
      <c r="AU71" s="55"/>
      <c r="AV71" s="55"/>
      <c r="AW71" s="55"/>
      <c r="AX71" s="55"/>
      <c r="AY71" s="55"/>
      <c r="AZ71" s="55"/>
      <c r="BA71" s="55"/>
      <c r="BB71" s="55"/>
      <c r="BC71" s="55"/>
      <c r="BD71" s="55"/>
      <c r="BE71" s="55"/>
      <c r="BF71" s="55"/>
      <c r="BG71" s="55"/>
      <c r="BH71" s="55"/>
      <c r="BI71" s="55"/>
      <c r="BJ71" s="55"/>
      <c r="BK71" s="55"/>
      <c r="BL71" s="55"/>
      <c r="BM71" s="55"/>
      <c r="BN71" s="55"/>
      <c r="BO71" s="55"/>
      <c r="BP71" s="55"/>
      <c r="BQ71" s="55"/>
      <c r="BR71" s="55"/>
      <c r="BS71" s="55"/>
      <c r="BT71" s="55"/>
      <c r="BU71" s="55"/>
    </row>
    <row r="72" spans="41:73" x14ac:dyDescent="0.3">
      <c r="AO72" s="55"/>
      <c r="AP72" s="55"/>
      <c r="AQ72" s="55"/>
      <c r="AR72" s="55"/>
      <c r="AS72" s="55"/>
      <c r="AT72" s="55"/>
      <c r="AU72" s="55"/>
      <c r="AV72" s="55"/>
      <c r="AW72" s="55"/>
      <c r="AX72" s="55"/>
      <c r="AY72" s="55"/>
      <c r="AZ72" s="55"/>
      <c r="BA72" s="55"/>
      <c r="BB72" s="55"/>
      <c r="BC72" s="55"/>
      <c r="BD72" s="55"/>
      <c r="BE72" s="55"/>
      <c r="BF72" s="55"/>
      <c r="BG72" s="55"/>
      <c r="BH72" s="55"/>
      <c r="BI72" s="55"/>
      <c r="BJ72" s="55"/>
      <c r="BK72" s="55"/>
      <c r="BL72" s="55"/>
      <c r="BM72" s="55"/>
      <c r="BN72" s="55"/>
      <c r="BO72" s="55"/>
      <c r="BP72" s="55"/>
      <c r="BQ72" s="55"/>
      <c r="BR72" s="55"/>
      <c r="BS72" s="55"/>
      <c r="BT72" s="55"/>
      <c r="BU72" s="55"/>
    </row>
    <row r="73" spans="41:73" x14ac:dyDescent="0.3">
      <c r="AO73" s="55"/>
      <c r="AP73" s="55"/>
      <c r="AQ73" s="55"/>
      <c r="AR73" s="55"/>
      <c r="AS73" s="55"/>
      <c r="AT73" s="55"/>
      <c r="AU73" s="55"/>
      <c r="AV73" s="55"/>
      <c r="AW73" s="55"/>
      <c r="AX73" s="55"/>
      <c r="AY73" s="55"/>
      <c r="AZ73" s="55"/>
      <c r="BA73" s="55"/>
      <c r="BB73" s="55"/>
      <c r="BC73" s="55"/>
      <c r="BD73" s="55"/>
      <c r="BE73" s="55"/>
      <c r="BF73" s="55"/>
      <c r="BG73" s="55"/>
      <c r="BH73" s="55"/>
      <c r="BI73" s="55"/>
      <c r="BJ73" s="55"/>
      <c r="BK73" s="55"/>
      <c r="BL73" s="55"/>
      <c r="BM73" s="55"/>
      <c r="BN73" s="55"/>
      <c r="BO73" s="55"/>
      <c r="BP73" s="55"/>
      <c r="BQ73" s="55"/>
      <c r="BR73" s="55"/>
      <c r="BS73" s="55"/>
      <c r="BT73" s="55"/>
      <c r="BU73" s="55"/>
    </row>
    <row r="74" spans="41:73" x14ac:dyDescent="0.3">
      <c r="AO74" s="55"/>
      <c r="AP74" s="55"/>
      <c r="AQ74" s="55"/>
      <c r="AR74" s="55"/>
      <c r="AS74" s="55"/>
      <c r="AT74" s="55"/>
      <c r="AU74" s="55"/>
      <c r="AV74" s="55"/>
      <c r="AW74" s="55"/>
      <c r="AX74" s="55"/>
      <c r="AY74" s="55"/>
      <c r="AZ74" s="55"/>
      <c r="BA74" s="55"/>
      <c r="BB74" s="55"/>
      <c r="BC74" s="55"/>
      <c r="BD74" s="55"/>
      <c r="BE74" s="55"/>
      <c r="BF74" s="55"/>
      <c r="BG74" s="55"/>
      <c r="BH74" s="55"/>
      <c r="BI74" s="55"/>
      <c r="BJ74" s="55"/>
      <c r="BK74" s="55"/>
      <c r="BL74" s="55"/>
      <c r="BM74" s="55"/>
      <c r="BN74" s="55"/>
      <c r="BO74" s="55"/>
      <c r="BP74" s="55"/>
      <c r="BQ74" s="55"/>
      <c r="BR74" s="55"/>
      <c r="BS74" s="55"/>
      <c r="BT74" s="55"/>
      <c r="BU74" s="55"/>
    </row>
    <row r="75" spans="41:73" x14ac:dyDescent="0.3">
      <c r="AO75" s="55"/>
      <c r="AP75" s="55"/>
      <c r="AQ75" s="55"/>
      <c r="AR75" s="55"/>
      <c r="AS75" s="55"/>
      <c r="AT75" s="55"/>
      <c r="AU75" s="55"/>
      <c r="AV75" s="55"/>
      <c r="AW75" s="55"/>
      <c r="AX75" s="55"/>
      <c r="AY75" s="55"/>
      <c r="AZ75" s="55"/>
      <c r="BA75" s="55"/>
      <c r="BB75" s="55"/>
      <c r="BC75" s="55"/>
      <c r="BD75" s="55"/>
      <c r="BE75" s="55"/>
      <c r="BF75" s="55"/>
      <c r="BG75" s="55"/>
      <c r="BH75" s="55"/>
      <c r="BI75" s="55"/>
      <c r="BJ75" s="55"/>
      <c r="BK75" s="55"/>
      <c r="BL75" s="55"/>
      <c r="BM75" s="55"/>
      <c r="BN75" s="55"/>
      <c r="BO75" s="55"/>
      <c r="BP75" s="55"/>
      <c r="BQ75" s="55"/>
      <c r="BR75" s="55"/>
      <c r="BS75" s="55"/>
      <c r="BT75" s="55"/>
      <c r="BU75" s="55"/>
    </row>
    <row r="76" spans="41:73" x14ac:dyDescent="0.3">
      <c r="AO76" s="55"/>
      <c r="AP76" s="55"/>
      <c r="AQ76" s="55"/>
      <c r="AR76" s="55"/>
      <c r="AS76" s="55"/>
      <c r="AT76" s="55"/>
      <c r="AU76" s="55"/>
      <c r="AV76" s="55"/>
      <c r="AW76" s="55"/>
      <c r="AX76" s="55"/>
      <c r="AY76" s="55"/>
      <c r="AZ76" s="55"/>
      <c r="BA76" s="55"/>
      <c r="BB76" s="55"/>
      <c r="BC76" s="55"/>
      <c r="BD76" s="55"/>
      <c r="BE76" s="55"/>
      <c r="BF76" s="55"/>
      <c r="BG76" s="55"/>
      <c r="BH76" s="55"/>
      <c r="BI76" s="55"/>
      <c r="BJ76" s="55"/>
      <c r="BK76" s="55"/>
      <c r="BL76" s="55"/>
      <c r="BM76" s="55"/>
      <c r="BN76" s="55"/>
      <c r="BO76" s="55"/>
      <c r="BP76" s="55"/>
      <c r="BQ76" s="55"/>
      <c r="BR76" s="55"/>
      <c r="BS76" s="55"/>
      <c r="BT76" s="55"/>
      <c r="BU76" s="55"/>
    </row>
    <row r="77" spans="41:73" x14ac:dyDescent="0.3">
      <c r="AO77" s="55"/>
      <c r="AP77" s="55"/>
      <c r="AQ77" s="55"/>
      <c r="AR77" s="55"/>
      <c r="AS77" s="55"/>
      <c r="AT77" s="55"/>
      <c r="AU77" s="55"/>
      <c r="AV77" s="55"/>
      <c r="AW77" s="55"/>
      <c r="AX77" s="55"/>
      <c r="AY77" s="55"/>
      <c r="AZ77" s="55"/>
      <c r="BA77" s="55"/>
      <c r="BB77" s="55"/>
      <c r="BC77" s="55"/>
      <c r="BD77" s="55"/>
      <c r="BE77" s="55"/>
      <c r="BF77" s="55"/>
      <c r="BG77" s="55"/>
      <c r="BH77" s="55"/>
      <c r="BI77" s="55"/>
      <c r="BJ77" s="55"/>
      <c r="BK77" s="55"/>
      <c r="BL77" s="55"/>
      <c r="BM77" s="55"/>
      <c r="BN77" s="55"/>
      <c r="BO77" s="55"/>
      <c r="BP77" s="55"/>
      <c r="BQ77" s="55"/>
      <c r="BR77" s="55"/>
      <c r="BS77" s="55"/>
      <c r="BT77" s="55"/>
      <c r="BU77" s="55"/>
    </row>
    <row r="78" spans="41:73" x14ac:dyDescent="0.3">
      <c r="AO78" s="55"/>
      <c r="AP78" s="55"/>
      <c r="AQ78" s="55"/>
      <c r="AR78" s="55"/>
      <c r="AS78" s="55"/>
      <c r="AT78" s="55"/>
      <c r="AU78" s="55"/>
      <c r="AV78" s="55"/>
      <c r="AW78" s="55"/>
      <c r="AX78" s="55"/>
      <c r="AY78" s="55"/>
      <c r="AZ78" s="55"/>
      <c r="BA78" s="55"/>
      <c r="BB78" s="55"/>
      <c r="BC78" s="55"/>
      <c r="BD78" s="55"/>
      <c r="BE78" s="55"/>
      <c r="BF78" s="55"/>
      <c r="BG78" s="55"/>
      <c r="BH78" s="55"/>
      <c r="BI78" s="55"/>
      <c r="BJ78" s="55"/>
      <c r="BK78" s="55"/>
      <c r="BL78" s="55"/>
      <c r="BM78" s="55"/>
      <c r="BN78" s="55"/>
      <c r="BO78" s="55"/>
      <c r="BP78" s="55"/>
      <c r="BQ78" s="55"/>
      <c r="BR78" s="55"/>
      <c r="BS78" s="55"/>
      <c r="BT78" s="55"/>
      <c r="BU78" s="55"/>
    </row>
    <row r="79" spans="41:73" x14ac:dyDescent="0.3">
      <c r="AO79" s="55"/>
      <c r="AP79" s="55"/>
      <c r="AQ79" s="55"/>
      <c r="AR79" s="55"/>
      <c r="AS79" s="55"/>
      <c r="AT79" s="55"/>
      <c r="AU79" s="55"/>
      <c r="AV79" s="55"/>
      <c r="AW79" s="55"/>
      <c r="AX79" s="55"/>
      <c r="AY79" s="55"/>
      <c r="AZ79" s="55"/>
      <c r="BA79" s="55"/>
      <c r="BB79" s="55"/>
      <c r="BC79" s="55"/>
      <c r="BD79" s="55"/>
      <c r="BE79" s="55"/>
      <c r="BF79" s="55"/>
      <c r="BG79" s="55"/>
      <c r="BH79" s="55"/>
      <c r="BI79" s="55"/>
      <c r="BJ79" s="55"/>
      <c r="BK79" s="55"/>
      <c r="BL79" s="55"/>
      <c r="BM79" s="55"/>
      <c r="BN79" s="55"/>
      <c r="BO79" s="55"/>
      <c r="BP79" s="55"/>
      <c r="BQ79" s="55"/>
      <c r="BR79" s="55"/>
      <c r="BS79" s="55"/>
      <c r="BT79" s="55"/>
      <c r="BU79" s="55"/>
    </row>
    <row r="80" spans="41:73" x14ac:dyDescent="0.3">
      <c r="AO80" s="55"/>
      <c r="AP80" s="55"/>
      <c r="AQ80" s="55"/>
      <c r="AR80" s="55"/>
      <c r="AS80" s="55"/>
      <c r="AT80" s="55"/>
      <c r="AU80" s="55"/>
      <c r="AV80" s="55"/>
      <c r="AW80" s="55"/>
      <c r="AX80" s="55"/>
      <c r="AY80" s="55"/>
      <c r="AZ80" s="55"/>
      <c r="BA80" s="55"/>
      <c r="BB80" s="55"/>
      <c r="BC80" s="55"/>
      <c r="BD80" s="55"/>
      <c r="BE80" s="55"/>
      <c r="BF80" s="55"/>
      <c r="BG80" s="55"/>
      <c r="BH80" s="55"/>
      <c r="BI80" s="55"/>
      <c r="BJ80" s="55"/>
      <c r="BK80" s="55"/>
      <c r="BL80" s="55"/>
      <c r="BM80" s="55"/>
      <c r="BN80" s="55"/>
      <c r="BO80" s="55"/>
      <c r="BP80" s="55"/>
      <c r="BQ80" s="55"/>
      <c r="BR80" s="55"/>
      <c r="BS80" s="55"/>
      <c r="BT80" s="55"/>
      <c r="BU80" s="55"/>
    </row>
    <row r="81" spans="41:73" x14ac:dyDescent="0.3">
      <c r="AO81" s="55"/>
      <c r="AP81" s="55"/>
      <c r="AQ81" s="55"/>
      <c r="AR81" s="55"/>
      <c r="AS81" s="55"/>
      <c r="AT81" s="55"/>
      <c r="AU81" s="55"/>
      <c r="AV81" s="55"/>
      <c r="AW81" s="55"/>
      <c r="AX81" s="55"/>
      <c r="AY81" s="55"/>
      <c r="AZ81" s="55"/>
      <c r="BA81" s="55"/>
      <c r="BB81" s="55"/>
      <c r="BC81" s="55"/>
      <c r="BD81" s="55"/>
      <c r="BE81" s="55"/>
      <c r="BF81" s="55"/>
      <c r="BG81" s="55"/>
      <c r="BH81" s="55"/>
      <c r="BI81" s="55"/>
      <c r="BJ81" s="55"/>
      <c r="BK81" s="55"/>
      <c r="BL81" s="55"/>
      <c r="BM81" s="55"/>
      <c r="BN81" s="55"/>
      <c r="BO81" s="55"/>
      <c r="BP81" s="55"/>
      <c r="BQ81" s="55"/>
      <c r="BR81" s="55"/>
      <c r="BS81" s="55"/>
      <c r="BT81" s="55"/>
      <c r="BU81" s="55"/>
    </row>
    <row r="82" spans="41:73" x14ac:dyDescent="0.3">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row>
  </sheetData>
  <sheetProtection algorithmName="SHA-512" hashValue="Qqj+zZTtMr/U8UC9A0vXJIIdn+hGL1GFWwVgOMOPB2pS1kuxA+764NpYgC1eIxuaVZntmYLGDYjQ8GsIZ4KsSQ==" saltValue="WGEawJ45NU5B+U+cy78F4Q==" spinCount="100000" sheet="1" objects="1" scenarios="1" selectLockedCells="1"/>
  <phoneticPr fontId="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6C86C-464B-4734-95A5-DEFDE2B8AB18}">
  <sheetPr codeName="Sheet2"/>
  <dimension ref="A1:BU328"/>
  <sheetViews>
    <sheetView topLeftCell="A13" workbookViewId="0">
      <selection activeCell="C27" sqref="C27"/>
    </sheetView>
  </sheetViews>
  <sheetFormatPr defaultRowHeight="15.6" x14ac:dyDescent="0.3"/>
  <cols>
    <col min="1" max="1" width="13.5" bestFit="1" customWidth="1"/>
    <col min="2" max="2" width="36.5" bestFit="1" customWidth="1"/>
    <col min="3" max="3" width="48.59765625" customWidth="1"/>
    <col min="4" max="4" width="143.19921875" customWidth="1"/>
    <col min="8" max="9" width="17.59765625" customWidth="1"/>
    <col min="11" max="11" width="11.3984375" customWidth="1"/>
    <col min="14" max="14" width="13.3984375" customWidth="1"/>
    <col min="16" max="16" width="18.19921875" customWidth="1"/>
    <col min="37" max="37" width="6" style="6" customWidth="1"/>
    <col min="38" max="62" width="5.19921875" style="6" customWidth="1"/>
    <col min="63" max="73" width="5.19921875" customWidth="1"/>
  </cols>
  <sheetData>
    <row r="1" spans="1:73" x14ac:dyDescent="0.3">
      <c r="A1" s="20" t="s">
        <v>0</v>
      </c>
      <c r="B1" s="20" t="s">
        <v>1</v>
      </c>
      <c r="C1" s="20" t="s">
        <v>2</v>
      </c>
      <c r="D1" s="20" t="s">
        <v>119</v>
      </c>
      <c r="H1" s="2" t="s">
        <v>89</v>
      </c>
      <c r="I1" s="1"/>
      <c r="K1" s="15" t="s">
        <v>74</v>
      </c>
      <c r="L1" s="15" t="s">
        <v>75</v>
      </c>
      <c r="N1" s="28" t="s">
        <v>323</v>
      </c>
      <c r="O1">
        <v>1</v>
      </c>
      <c r="P1" t="s">
        <v>60</v>
      </c>
      <c r="Q1">
        <v>50</v>
      </c>
      <c r="R1">
        <v>0.5</v>
      </c>
      <c r="S1">
        <v>10</v>
      </c>
      <c r="T1">
        <v>30</v>
      </c>
      <c r="U1">
        <f t="shared" ref="U1:U11" si="0">100-(R1+S1+T1)</f>
        <v>59.5</v>
      </c>
      <c r="V1">
        <v>492</v>
      </c>
      <c r="AK1" s="60">
        <v>1</v>
      </c>
      <c r="AL1" s="61">
        <v>2.2999999999999998</v>
      </c>
      <c r="AM1" s="61">
        <v>2.4</v>
      </c>
      <c r="AN1" s="61">
        <v>2.5</v>
      </c>
      <c r="AO1" s="61">
        <v>4.5</v>
      </c>
      <c r="AP1" s="61">
        <v>4.7</v>
      </c>
      <c r="AQ1" s="61">
        <v>5.9</v>
      </c>
      <c r="AR1" s="61">
        <v>8.1</v>
      </c>
      <c r="AS1" s="61">
        <v>9.1</v>
      </c>
      <c r="AT1" s="61">
        <v>11.1</v>
      </c>
      <c r="AU1" s="61">
        <v>11.2</v>
      </c>
      <c r="AV1" s="61">
        <v>12.1</v>
      </c>
      <c r="AW1" s="61">
        <v>13.3</v>
      </c>
      <c r="AX1" s="61">
        <v>14.1</v>
      </c>
      <c r="AY1" s="61">
        <v>14.2</v>
      </c>
      <c r="AZ1" s="61">
        <v>14.3</v>
      </c>
      <c r="BA1" s="61">
        <v>14.6</v>
      </c>
      <c r="BB1" s="61">
        <v>15.4</v>
      </c>
      <c r="BC1" s="61"/>
      <c r="BD1" s="61"/>
      <c r="BE1" s="61"/>
      <c r="BF1" s="61"/>
      <c r="BG1" s="61"/>
      <c r="BH1" s="61"/>
      <c r="BI1" s="61"/>
      <c r="BJ1" s="61"/>
      <c r="BK1" s="62"/>
      <c r="BL1" s="62"/>
      <c r="BM1" s="62"/>
      <c r="BN1" s="62"/>
      <c r="BO1" s="62"/>
      <c r="BP1" s="62"/>
      <c r="BQ1" s="62"/>
      <c r="BR1" s="62"/>
      <c r="BS1" s="62"/>
      <c r="BT1" s="62"/>
      <c r="BU1" s="62"/>
    </row>
    <row r="2" spans="1:73" ht="21.6" thickBot="1" x14ac:dyDescent="0.45">
      <c r="A2" s="133"/>
      <c r="B2" s="134"/>
      <c r="C2" s="134"/>
      <c r="D2" s="135"/>
      <c r="H2" s="3" t="s">
        <v>772</v>
      </c>
      <c r="I2" s="3" t="s">
        <v>775</v>
      </c>
      <c r="K2" s="14" t="s">
        <v>25</v>
      </c>
      <c r="L2" s="14">
        <v>1</v>
      </c>
      <c r="N2" s="29" t="e" cm="1">
        <f t="array" ref="N2">_xlfn.IFS('Front Sheet HHSRS Revision BSv1'!I13="Non-HMO Pre-1920",1,'Front Sheet HHSRS Revision BSv1'!I13="Non-HMO 1920-45",2,'Front Sheet HHSRS Revision BSv1'!I13="Non-HMO 1946-79",3,'Front Sheet HHSRS Revision BSv1'!I13="Non-HMO Post-1979",4,'Front Sheet HHSRS Revision BSv1'!I13="HMO Only",5,'Front Sheet HHSRS Revision BSv1'!I13="HMO Pre-1920",6,'Front Sheet HHSRS Revision BSv1'!I13="HMO 1920-45",7,'Front Sheet HHSRS Revision BSv1'!I13="HMO 1946-79",8,'Front Sheet HHSRS Revision BSv1'!I13="HMO Post-1979",9,'Front Sheet HHSRS Revision BSv1'!I13="All Dwellings",10,'Front Sheet HHSRS Revision BSv1'!I13="Council Flat Haz 19",11,'Front Sheet HHSRS Revision BSv1'!I13="Flats Pre-1920",12,'Front Sheet HHSRS Revision BSv1'!I13="Flats 1920-45",13,'Front Sheet HHSRS Revision BSv1'!I13="Flats 1946-79",14,'Front Sheet HHSRS Revision BSv1'!I13="Flats Post-1979",15,'Front Sheet HHSRS Revision BSv1'!I13="BCC",16)</f>
        <v>#N/A</v>
      </c>
      <c r="P2" t="s">
        <v>61</v>
      </c>
      <c r="Q2">
        <v>50</v>
      </c>
      <c r="R2">
        <v>0.2</v>
      </c>
      <c r="S2">
        <v>10</v>
      </c>
      <c r="T2">
        <v>30</v>
      </c>
      <c r="U2">
        <f t="shared" si="0"/>
        <v>59.8</v>
      </c>
      <c r="V2">
        <v>432</v>
      </c>
      <c r="AK2" s="60">
        <v>2</v>
      </c>
      <c r="AL2" s="61">
        <v>1.1000000000000001</v>
      </c>
      <c r="AM2" s="61">
        <v>9.1</v>
      </c>
      <c r="AN2" s="61">
        <v>11.1</v>
      </c>
      <c r="AO2" s="61">
        <v>12.1</v>
      </c>
      <c r="AP2" s="61">
        <v>12.2</v>
      </c>
      <c r="AQ2" s="61">
        <v>12.3</v>
      </c>
      <c r="AR2" s="61">
        <v>12.4</v>
      </c>
      <c r="AS2" s="61">
        <v>12.5</v>
      </c>
      <c r="AT2" s="61">
        <v>12.6</v>
      </c>
      <c r="AU2" s="61">
        <v>13.1</v>
      </c>
      <c r="AV2" s="61">
        <v>14.2</v>
      </c>
      <c r="AW2" s="61">
        <v>15.4</v>
      </c>
      <c r="AX2" s="61"/>
      <c r="AY2" s="61"/>
      <c r="AZ2" s="61"/>
      <c r="BA2" s="61"/>
      <c r="BB2" s="61"/>
      <c r="BC2" s="61"/>
      <c r="BD2" s="61"/>
      <c r="BE2" s="61"/>
      <c r="BF2" s="61"/>
      <c r="BG2" s="61"/>
      <c r="BH2" s="61"/>
      <c r="BI2" s="61"/>
      <c r="BJ2" s="61"/>
      <c r="BK2" s="62"/>
      <c r="BL2" s="62"/>
      <c r="BM2" s="62"/>
      <c r="BN2" s="62"/>
      <c r="BO2" s="62"/>
      <c r="BP2" s="62"/>
      <c r="BQ2" s="62"/>
      <c r="BR2" s="62"/>
      <c r="BS2" s="62"/>
      <c r="BT2" s="62"/>
      <c r="BU2" s="62"/>
    </row>
    <row r="3" spans="1:73" ht="19.8" thickBot="1" x14ac:dyDescent="0.35">
      <c r="A3" s="21">
        <v>1</v>
      </c>
      <c r="B3" s="18" t="s">
        <v>31</v>
      </c>
      <c r="C3" s="18" t="s">
        <v>32</v>
      </c>
      <c r="D3" s="18" t="s">
        <v>120</v>
      </c>
      <c r="H3" s="4" t="s">
        <v>772</v>
      </c>
      <c r="I3" s="4" t="s">
        <v>774</v>
      </c>
      <c r="K3" s="9" t="s">
        <v>24</v>
      </c>
      <c r="L3" s="9">
        <v>2</v>
      </c>
      <c r="P3" t="s">
        <v>62</v>
      </c>
      <c r="Q3">
        <v>50</v>
      </c>
      <c r="R3">
        <v>0.2</v>
      </c>
      <c r="S3">
        <v>10</v>
      </c>
      <c r="T3">
        <v>30</v>
      </c>
      <c r="U3">
        <f t="shared" si="0"/>
        <v>59.8</v>
      </c>
      <c r="V3">
        <v>432</v>
      </c>
      <c r="AK3" s="60">
        <v>3</v>
      </c>
      <c r="AL3" s="61">
        <v>1.1000000000000001</v>
      </c>
      <c r="AM3" s="61">
        <v>9.1</v>
      </c>
      <c r="AN3" s="61">
        <v>11.5</v>
      </c>
      <c r="AO3" s="61">
        <v>12.1</v>
      </c>
      <c r="AP3" s="61">
        <v>13.1</v>
      </c>
      <c r="AQ3" s="61">
        <v>13.2</v>
      </c>
      <c r="AR3" s="61">
        <v>14.2</v>
      </c>
      <c r="AS3" s="61"/>
      <c r="AT3" s="61"/>
      <c r="AU3" s="61"/>
      <c r="AV3" s="61"/>
      <c r="AW3" s="61"/>
      <c r="AX3" s="61"/>
      <c r="AY3" s="61"/>
      <c r="AZ3" s="61"/>
      <c r="BA3" s="61"/>
      <c r="BB3" s="61"/>
      <c r="BC3" s="61"/>
      <c r="BD3" s="61"/>
      <c r="BE3" s="61"/>
      <c r="BF3" s="61"/>
      <c r="BG3" s="61"/>
      <c r="BH3" s="61"/>
      <c r="BI3" s="61"/>
      <c r="BJ3" s="61"/>
      <c r="BK3" s="62"/>
      <c r="BL3" s="62"/>
      <c r="BM3" s="62"/>
      <c r="BN3" s="62"/>
      <c r="BO3" s="62"/>
      <c r="BP3" s="62"/>
      <c r="BQ3" s="62"/>
      <c r="BR3" s="62"/>
      <c r="BS3" s="62"/>
      <c r="BT3" s="62"/>
      <c r="BU3" s="62"/>
    </row>
    <row r="4" spans="1:73" ht="19.8" thickBot="1" x14ac:dyDescent="0.35">
      <c r="A4" s="22">
        <v>2</v>
      </c>
      <c r="B4" s="19" t="s">
        <v>33</v>
      </c>
      <c r="C4" s="19" t="s">
        <v>32</v>
      </c>
      <c r="D4" s="19" t="s">
        <v>121</v>
      </c>
      <c r="H4" s="5" t="s">
        <v>92</v>
      </c>
      <c r="I4" s="5" t="s">
        <v>773</v>
      </c>
      <c r="K4" s="9" t="s">
        <v>23</v>
      </c>
      <c r="L4" s="9">
        <v>3</v>
      </c>
      <c r="P4" t="s">
        <v>63</v>
      </c>
      <c r="Q4">
        <v>50</v>
      </c>
      <c r="R4">
        <v>0.1</v>
      </c>
      <c r="S4">
        <v>10</v>
      </c>
      <c r="T4">
        <v>30</v>
      </c>
      <c r="U4">
        <f t="shared" si="0"/>
        <v>59.9</v>
      </c>
      <c r="V4">
        <v>412</v>
      </c>
      <c r="AK4" s="60">
        <v>4</v>
      </c>
      <c r="AL4" s="61">
        <v>8.1</v>
      </c>
      <c r="AM4" s="61">
        <v>9.1</v>
      </c>
      <c r="AN4" s="61">
        <v>11.1</v>
      </c>
      <c r="AO4" s="61">
        <v>11.2</v>
      </c>
      <c r="AP4" s="61">
        <v>12.1</v>
      </c>
      <c r="AQ4" s="61">
        <v>12.2</v>
      </c>
      <c r="AR4" s="61">
        <v>13.2</v>
      </c>
      <c r="AS4" s="61">
        <v>14.2</v>
      </c>
      <c r="AT4" s="61">
        <v>14.3</v>
      </c>
      <c r="AU4" s="61">
        <v>14.5</v>
      </c>
      <c r="AV4" s="61">
        <v>14.6</v>
      </c>
      <c r="AW4" s="61">
        <v>15.2</v>
      </c>
      <c r="AX4" s="61">
        <v>15.4</v>
      </c>
      <c r="AY4" s="61">
        <v>19.100000000000001</v>
      </c>
      <c r="AZ4" s="61">
        <v>19.2</v>
      </c>
      <c r="BA4" s="61">
        <v>19.3</v>
      </c>
      <c r="BB4" s="61">
        <v>19.399999999999999</v>
      </c>
      <c r="BC4" s="61">
        <v>19.5</v>
      </c>
      <c r="BD4" s="61">
        <v>19.600000000000001</v>
      </c>
      <c r="BE4" s="61">
        <v>19.7</v>
      </c>
      <c r="BF4" s="61"/>
      <c r="BG4" s="61"/>
      <c r="BH4" s="61"/>
      <c r="BI4" s="61"/>
      <c r="BJ4" s="61"/>
      <c r="BK4" s="62"/>
      <c r="BL4" s="62"/>
      <c r="BM4" s="62"/>
      <c r="BN4" s="62"/>
      <c r="BO4" s="62"/>
      <c r="BP4" s="62"/>
      <c r="BQ4" s="62"/>
      <c r="BR4" s="62"/>
      <c r="BS4" s="62"/>
      <c r="BT4" s="62"/>
      <c r="BU4" s="62"/>
    </row>
    <row r="5" spans="1:73" ht="19.8" thickBot="1" x14ac:dyDescent="0.35">
      <c r="A5" s="22">
        <v>3</v>
      </c>
      <c r="B5" s="19" t="s">
        <v>34</v>
      </c>
      <c r="C5" s="19" t="s">
        <v>35</v>
      </c>
      <c r="D5" s="19" t="s">
        <v>122</v>
      </c>
      <c r="H5" s="1"/>
      <c r="I5" s="1"/>
      <c r="K5" s="9" t="s">
        <v>22</v>
      </c>
      <c r="L5" s="9">
        <v>5</v>
      </c>
      <c r="P5" t="s">
        <v>64</v>
      </c>
      <c r="Q5">
        <v>50</v>
      </c>
      <c r="R5">
        <v>0.2</v>
      </c>
      <c r="S5">
        <v>10</v>
      </c>
      <c r="T5">
        <v>30</v>
      </c>
      <c r="U5">
        <f t="shared" si="0"/>
        <v>59.8</v>
      </c>
      <c r="V5">
        <v>432</v>
      </c>
      <c r="AK5" s="60">
        <v>5</v>
      </c>
      <c r="AL5" s="61">
        <v>3.2</v>
      </c>
      <c r="AM5" s="61">
        <v>5.3</v>
      </c>
      <c r="AN5" s="61">
        <v>5.4</v>
      </c>
      <c r="AO5" s="61">
        <v>5.5</v>
      </c>
      <c r="AP5" s="61">
        <v>13.3</v>
      </c>
      <c r="AQ5" s="61">
        <v>14.5</v>
      </c>
      <c r="AR5" s="61">
        <v>14.6</v>
      </c>
      <c r="AS5" s="61">
        <v>15.2</v>
      </c>
      <c r="AT5" s="61">
        <v>15.4</v>
      </c>
      <c r="AU5" s="61">
        <v>15.5</v>
      </c>
      <c r="AV5" s="61"/>
      <c r="AW5" s="61"/>
      <c r="AX5" s="61"/>
      <c r="AY5" s="61"/>
      <c r="AZ5" s="61"/>
      <c r="BA5" s="61"/>
      <c r="BB5" s="61"/>
      <c r="BC5" s="61"/>
      <c r="BD5" s="61"/>
      <c r="BE5" s="61"/>
      <c r="BF5" s="61"/>
      <c r="BG5" s="61"/>
      <c r="BH5" s="61"/>
      <c r="BI5" s="61"/>
      <c r="BJ5" s="61"/>
      <c r="BK5" s="62"/>
      <c r="BL5" s="62"/>
      <c r="BM5" s="62"/>
      <c r="BN5" s="62"/>
      <c r="BO5" s="62"/>
      <c r="BP5" s="62"/>
      <c r="BQ5" s="62"/>
      <c r="BR5" s="62"/>
      <c r="BS5" s="62"/>
      <c r="BT5" s="62"/>
      <c r="BU5" s="62"/>
    </row>
    <row r="6" spans="1:73" ht="19.8" thickBot="1" x14ac:dyDescent="0.35">
      <c r="A6" s="22">
        <v>4</v>
      </c>
      <c r="B6" s="19" t="s">
        <v>36</v>
      </c>
      <c r="C6" s="19" t="s">
        <v>32</v>
      </c>
      <c r="D6" s="19" t="s">
        <v>123</v>
      </c>
      <c r="K6" s="9" t="s">
        <v>21</v>
      </c>
      <c r="L6" s="9">
        <v>10</v>
      </c>
      <c r="P6" t="s">
        <v>65</v>
      </c>
      <c r="Q6">
        <v>50</v>
      </c>
      <c r="R6">
        <v>0.2</v>
      </c>
      <c r="S6">
        <v>10</v>
      </c>
      <c r="T6">
        <v>30</v>
      </c>
      <c r="U6">
        <f t="shared" si="0"/>
        <v>59.8</v>
      </c>
      <c r="V6">
        <v>432</v>
      </c>
      <c r="AK6" s="60">
        <v>6</v>
      </c>
      <c r="AL6" s="61">
        <v>1.1000000000000001</v>
      </c>
      <c r="AM6" s="61">
        <v>5.0999999999999996</v>
      </c>
      <c r="AN6" s="61">
        <v>5.4</v>
      </c>
      <c r="AO6" s="61">
        <v>7.3</v>
      </c>
      <c r="AP6" s="61">
        <v>7.4</v>
      </c>
      <c r="AQ6" s="61">
        <v>8.1</v>
      </c>
      <c r="AR6" s="61">
        <v>11.5</v>
      </c>
      <c r="AS6" s="61">
        <v>12.2</v>
      </c>
      <c r="AT6" s="61">
        <v>12.5</v>
      </c>
      <c r="AU6" s="61">
        <v>13.1</v>
      </c>
      <c r="AV6" s="61">
        <v>13.2</v>
      </c>
      <c r="AW6" s="61">
        <v>14.1</v>
      </c>
      <c r="AX6" s="61">
        <v>14.2</v>
      </c>
      <c r="AY6" s="61">
        <v>14.3</v>
      </c>
      <c r="AZ6" s="61">
        <v>16.399999999999999</v>
      </c>
      <c r="BA6" s="61"/>
      <c r="BB6" s="61"/>
      <c r="BC6" s="61"/>
      <c r="BD6" s="61"/>
      <c r="BE6" s="61"/>
      <c r="BF6" s="61"/>
      <c r="BG6" s="61"/>
      <c r="BH6" s="61"/>
      <c r="BI6" s="61"/>
      <c r="BJ6" s="61"/>
      <c r="BK6" s="62"/>
      <c r="BL6" s="62"/>
      <c r="BM6" s="62"/>
      <c r="BN6" s="62"/>
      <c r="BO6" s="62"/>
      <c r="BP6" s="62"/>
      <c r="BQ6" s="62"/>
      <c r="BR6" s="62"/>
      <c r="BS6" s="62"/>
      <c r="BT6" s="62"/>
      <c r="BU6" s="62"/>
    </row>
    <row r="7" spans="1:73" ht="19.8" thickBot="1" x14ac:dyDescent="0.35">
      <c r="A7" s="22">
        <v>5</v>
      </c>
      <c r="B7" s="19" t="s">
        <v>37</v>
      </c>
      <c r="C7" s="19" t="s">
        <v>35</v>
      </c>
      <c r="D7" s="19" t="s">
        <v>124</v>
      </c>
      <c r="H7" s="13" t="s">
        <v>104</v>
      </c>
      <c r="I7" s="13" t="s">
        <v>105</v>
      </c>
      <c r="K7" s="9" t="s">
        <v>20</v>
      </c>
      <c r="L7" s="9">
        <v>20</v>
      </c>
      <c r="P7" t="s">
        <v>66</v>
      </c>
      <c r="Q7">
        <v>50</v>
      </c>
      <c r="R7">
        <v>0.2</v>
      </c>
      <c r="S7">
        <v>10</v>
      </c>
      <c r="T7">
        <v>30</v>
      </c>
      <c r="U7">
        <f t="shared" si="0"/>
        <v>59.8</v>
      </c>
      <c r="V7">
        <v>432</v>
      </c>
      <c r="AK7" s="60">
        <v>7</v>
      </c>
      <c r="AL7" s="61">
        <v>1.1000000000000001</v>
      </c>
      <c r="AM7" s="61">
        <v>2.1</v>
      </c>
      <c r="AN7" s="61">
        <v>4.2</v>
      </c>
      <c r="AO7" s="61">
        <v>4.3</v>
      </c>
      <c r="AP7" s="61">
        <v>4.7</v>
      </c>
      <c r="AQ7" s="61">
        <v>5.3</v>
      </c>
      <c r="AR7" s="61">
        <v>12.1</v>
      </c>
      <c r="AS7" s="61">
        <v>12.2</v>
      </c>
      <c r="AT7" s="61">
        <v>17.100000000000001</v>
      </c>
      <c r="AU7" s="61">
        <v>18.100000000000001</v>
      </c>
      <c r="AV7" s="61"/>
      <c r="AW7" s="61"/>
      <c r="AX7" s="61"/>
      <c r="AY7" s="61"/>
      <c r="AZ7" s="61"/>
      <c r="BA7" s="61"/>
      <c r="BB7" s="61"/>
      <c r="BC7" s="61"/>
      <c r="BD7" s="61"/>
      <c r="BE7" s="61"/>
      <c r="BF7" s="61"/>
      <c r="BG7" s="61"/>
      <c r="BH7" s="61"/>
      <c r="BI7" s="61"/>
      <c r="BJ7" s="61"/>
      <c r="BK7" s="62"/>
      <c r="BL7" s="62"/>
      <c r="BM7" s="62"/>
      <c r="BN7" s="62"/>
      <c r="BO7" s="62"/>
      <c r="BP7" s="62"/>
      <c r="BQ7" s="62"/>
      <c r="BR7" s="62"/>
      <c r="BS7" s="62"/>
      <c r="BT7" s="62"/>
      <c r="BU7" s="62"/>
    </row>
    <row r="8" spans="1:73" ht="31.8" thickBot="1" x14ac:dyDescent="0.35">
      <c r="A8" s="22">
        <v>6</v>
      </c>
      <c r="B8" s="19" t="s">
        <v>38</v>
      </c>
      <c r="C8" s="19" t="s">
        <v>39</v>
      </c>
      <c r="D8" s="23" t="s">
        <v>317</v>
      </c>
      <c r="H8" s="12" t="s">
        <v>94</v>
      </c>
      <c r="I8" s="12">
        <v>0</v>
      </c>
      <c r="K8" s="10" t="s">
        <v>19</v>
      </c>
      <c r="L8" s="10">
        <v>30</v>
      </c>
      <c r="P8" t="s">
        <v>67</v>
      </c>
      <c r="Q8">
        <v>50</v>
      </c>
      <c r="R8">
        <v>0.2</v>
      </c>
      <c r="S8">
        <v>10</v>
      </c>
      <c r="T8">
        <v>30</v>
      </c>
      <c r="U8">
        <f t="shared" si="0"/>
        <v>59.8</v>
      </c>
      <c r="V8">
        <v>432</v>
      </c>
      <c r="AK8" s="60">
        <v>8</v>
      </c>
      <c r="AL8" s="61">
        <v>5.4</v>
      </c>
      <c r="AM8" s="61">
        <v>5.5</v>
      </c>
      <c r="AN8" s="61">
        <v>14.4</v>
      </c>
      <c r="AO8" s="61">
        <v>14.6</v>
      </c>
      <c r="AP8" s="61">
        <v>17.100000000000001</v>
      </c>
      <c r="AQ8" s="61">
        <v>17.3</v>
      </c>
      <c r="AR8" s="61">
        <v>18.100000000000001</v>
      </c>
      <c r="AS8" s="61">
        <v>19.2</v>
      </c>
      <c r="AT8" s="61">
        <v>19.399999999999999</v>
      </c>
      <c r="AU8" s="61"/>
      <c r="AV8" s="61"/>
      <c r="AW8" s="61"/>
      <c r="AX8" s="61"/>
      <c r="AY8" s="61"/>
      <c r="AZ8" s="61"/>
      <c r="BA8" s="61"/>
      <c r="BB8" s="61"/>
      <c r="BC8" s="61"/>
      <c r="BD8" s="61"/>
      <c r="BE8" s="61"/>
      <c r="BF8" s="61"/>
      <c r="BG8" s="61"/>
      <c r="BH8" s="61"/>
      <c r="BI8" s="61"/>
      <c r="BJ8" s="61"/>
      <c r="BK8" s="62"/>
      <c r="BL8" s="62"/>
      <c r="BM8" s="62"/>
      <c r="BN8" s="62"/>
      <c r="BO8" s="62"/>
      <c r="BP8" s="62"/>
      <c r="BQ8" s="62"/>
      <c r="BR8" s="62"/>
      <c r="BS8" s="62"/>
      <c r="BT8" s="62"/>
      <c r="BU8" s="62"/>
    </row>
    <row r="9" spans="1:73" ht="19.8" thickBot="1" x14ac:dyDescent="0.35">
      <c r="A9" s="22">
        <v>7</v>
      </c>
      <c r="B9" s="19" t="s">
        <v>40</v>
      </c>
      <c r="C9" s="19" t="s">
        <v>39</v>
      </c>
      <c r="D9" s="23" t="s">
        <v>316</v>
      </c>
      <c r="H9" s="8" t="s">
        <v>95</v>
      </c>
      <c r="I9" s="8">
        <v>10</v>
      </c>
      <c r="K9" s="9" t="s">
        <v>18</v>
      </c>
      <c r="L9" s="9">
        <v>50</v>
      </c>
      <c r="P9" t="s">
        <v>68</v>
      </c>
      <c r="Q9">
        <v>50</v>
      </c>
      <c r="R9">
        <v>0.2</v>
      </c>
      <c r="S9">
        <v>10</v>
      </c>
      <c r="T9">
        <v>30</v>
      </c>
      <c r="U9">
        <f t="shared" si="0"/>
        <v>59.8</v>
      </c>
      <c r="V9">
        <v>432</v>
      </c>
      <c r="AK9" s="60">
        <v>9</v>
      </c>
      <c r="AL9" s="61">
        <v>4.8</v>
      </c>
      <c r="AM9" s="61">
        <v>5.6</v>
      </c>
      <c r="AN9" s="61">
        <v>6.1</v>
      </c>
      <c r="AO9" s="61">
        <v>8.1</v>
      </c>
      <c r="AP9" s="61">
        <v>11.2</v>
      </c>
      <c r="AQ9" s="61">
        <v>11.5</v>
      </c>
      <c r="AR9" s="61">
        <v>14.4</v>
      </c>
      <c r="AS9" s="61">
        <v>14.5</v>
      </c>
      <c r="AT9" s="61">
        <v>15.1</v>
      </c>
      <c r="AU9" s="61">
        <v>15.2</v>
      </c>
      <c r="AV9" s="61">
        <v>15.3</v>
      </c>
      <c r="AW9" s="61">
        <v>15.4</v>
      </c>
      <c r="AX9" s="61">
        <v>15.5</v>
      </c>
      <c r="AY9" s="61">
        <v>16.100000000000001</v>
      </c>
      <c r="AZ9" s="61">
        <v>16.399999999999999</v>
      </c>
      <c r="BA9" s="61">
        <v>17.100000000000001</v>
      </c>
      <c r="BB9" s="61">
        <v>17.3</v>
      </c>
      <c r="BC9" s="61"/>
      <c r="BD9" s="61"/>
      <c r="BE9" s="61"/>
      <c r="BF9" s="61"/>
      <c r="BG9" s="61"/>
      <c r="BH9" s="61"/>
      <c r="BI9" s="61"/>
      <c r="BJ9" s="61"/>
      <c r="BK9" s="62"/>
      <c r="BL9" s="62"/>
      <c r="BM9" s="62"/>
      <c r="BN9" s="62"/>
      <c r="BO9" s="62"/>
      <c r="BP9" s="62"/>
      <c r="BQ9" s="62"/>
      <c r="BR9" s="62"/>
      <c r="BS9" s="62"/>
      <c r="BT9" s="62"/>
      <c r="BU9" s="62"/>
    </row>
    <row r="10" spans="1:73" ht="19.8" thickBot="1" x14ac:dyDescent="0.35">
      <c r="A10" s="22">
        <v>8</v>
      </c>
      <c r="B10" s="19" t="s">
        <v>41</v>
      </c>
      <c r="C10" s="19" t="s">
        <v>35</v>
      </c>
      <c r="D10" s="23" t="s">
        <v>315</v>
      </c>
      <c r="H10" s="8" t="s">
        <v>96</v>
      </c>
      <c r="I10" s="8">
        <v>20</v>
      </c>
      <c r="K10" s="9" t="s">
        <v>17</v>
      </c>
      <c r="L10" s="9">
        <v>100</v>
      </c>
      <c r="P10" t="s">
        <v>59</v>
      </c>
      <c r="Q10">
        <v>50</v>
      </c>
      <c r="R10">
        <v>0.2</v>
      </c>
      <c r="S10">
        <v>10</v>
      </c>
      <c r="T10">
        <v>30</v>
      </c>
      <c r="U10">
        <f t="shared" si="0"/>
        <v>59.8</v>
      </c>
      <c r="V10">
        <v>432</v>
      </c>
      <c r="AK10" s="60">
        <v>10</v>
      </c>
      <c r="AL10" s="61">
        <v>1.1000000000000001</v>
      </c>
      <c r="AM10" s="61">
        <v>3.1</v>
      </c>
      <c r="AN10" s="61">
        <v>16.2</v>
      </c>
      <c r="AO10" s="61">
        <v>16.3</v>
      </c>
      <c r="AP10" s="61">
        <v>16.399999999999999</v>
      </c>
      <c r="AQ10" s="61">
        <v>17.100000000000001</v>
      </c>
      <c r="AR10" s="61">
        <v>17.399999999999999</v>
      </c>
      <c r="AS10" s="61"/>
      <c r="AT10" s="61"/>
      <c r="AU10" s="61"/>
      <c r="AV10" s="61"/>
      <c r="AW10" s="61"/>
      <c r="AX10" s="61"/>
      <c r="AY10" s="61"/>
      <c r="AZ10" s="61"/>
      <c r="BA10" s="61"/>
      <c r="BB10" s="61"/>
      <c r="BC10" s="61"/>
      <c r="BD10" s="61"/>
      <c r="BE10" s="61"/>
      <c r="BF10" s="61"/>
      <c r="BG10" s="61"/>
      <c r="BH10" s="61"/>
      <c r="BI10" s="61"/>
      <c r="BJ10" s="61"/>
      <c r="BK10" s="62"/>
      <c r="BL10" s="62"/>
      <c r="BM10" s="62"/>
      <c r="BN10" s="62"/>
      <c r="BO10" s="62"/>
      <c r="BP10" s="62"/>
      <c r="BQ10" s="62"/>
      <c r="BR10" s="62"/>
      <c r="BS10" s="62"/>
      <c r="BT10" s="62"/>
      <c r="BU10" s="62"/>
    </row>
    <row r="11" spans="1:73" ht="19.8" thickBot="1" x14ac:dyDescent="0.35">
      <c r="A11" s="22">
        <v>9</v>
      </c>
      <c r="B11" s="19" t="s">
        <v>42</v>
      </c>
      <c r="C11" s="19" t="s">
        <v>43</v>
      </c>
      <c r="D11" s="19" t="s">
        <v>303</v>
      </c>
      <c r="H11" s="8" t="s">
        <v>103</v>
      </c>
      <c r="I11" s="8">
        <v>50</v>
      </c>
      <c r="K11" s="11" t="s">
        <v>16</v>
      </c>
      <c r="L11" s="10">
        <v>200</v>
      </c>
      <c r="P11" t="s">
        <v>114</v>
      </c>
      <c r="Q11">
        <v>0</v>
      </c>
      <c r="R11">
        <v>0</v>
      </c>
      <c r="S11">
        <v>0</v>
      </c>
      <c r="T11">
        <v>0</v>
      </c>
      <c r="U11">
        <f t="shared" si="0"/>
        <v>100</v>
      </c>
      <c r="V11">
        <v>0</v>
      </c>
      <c r="AK11" s="60">
        <v>11</v>
      </c>
      <c r="AL11" s="61">
        <v>2.1</v>
      </c>
      <c r="AM11" s="61">
        <v>2.2999999999999998</v>
      </c>
      <c r="AN11" s="61">
        <v>2.4</v>
      </c>
      <c r="AO11" s="61">
        <v>3.3</v>
      </c>
      <c r="AP11" s="61">
        <v>4.3</v>
      </c>
      <c r="AQ11" s="61">
        <v>4.4000000000000004</v>
      </c>
      <c r="AR11" s="61">
        <v>4.7</v>
      </c>
      <c r="AS11" s="61">
        <v>4.8</v>
      </c>
      <c r="AT11" s="61">
        <v>5.2</v>
      </c>
      <c r="AU11" s="61">
        <v>5.6</v>
      </c>
      <c r="AV11" s="61">
        <v>5.9</v>
      </c>
      <c r="AW11" s="61">
        <v>6.1</v>
      </c>
      <c r="AX11" s="61">
        <v>15.1</v>
      </c>
      <c r="AY11" s="61">
        <v>15.3</v>
      </c>
      <c r="AZ11" s="61">
        <v>15.4</v>
      </c>
      <c r="BA11" s="61">
        <v>15.5</v>
      </c>
      <c r="BB11" s="61">
        <v>16.100000000000001</v>
      </c>
      <c r="BC11" s="61">
        <v>16.2</v>
      </c>
      <c r="BD11" s="61">
        <v>16.3</v>
      </c>
      <c r="BE11" s="61">
        <v>16.399999999999999</v>
      </c>
      <c r="BF11" s="61">
        <v>17.100000000000001</v>
      </c>
      <c r="BG11" s="61">
        <v>17.2</v>
      </c>
      <c r="BH11" s="61">
        <v>17.3</v>
      </c>
      <c r="BI11" s="61"/>
      <c r="BJ11" s="61"/>
      <c r="BK11" s="62"/>
      <c r="BL11" s="62"/>
      <c r="BM11" s="62"/>
      <c r="BN11" s="62"/>
      <c r="BO11" s="62"/>
      <c r="BP11" s="62"/>
      <c r="BQ11" s="62"/>
      <c r="BR11" s="62"/>
      <c r="BS11" s="62"/>
      <c r="BT11" s="62"/>
      <c r="BU11" s="62"/>
    </row>
    <row r="12" spans="1:73" ht="19.8" thickBot="1" x14ac:dyDescent="0.35">
      <c r="A12" s="22">
        <v>10</v>
      </c>
      <c r="B12" s="19" t="s">
        <v>44</v>
      </c>
      <c r="C12" s="19" t="s">
        <v>45</v>
      </c>
      <c r="D12" s="19" t="s">
        <v>304</v>
      </c>
      <c r="H12" s="8" t="s">
        <v>102</v>
      </c>
      <c r="I12" s="8">
        <v>100</v>
      </c>
      <c r="K12" s="11" t="s">
        <v>15</v>
      </c>
      <c r="L12" s="10">
        <v>300</v>
      </c>
      <c r="P12" t="s">
        <v>69</v>
      </c>
      <c r="Q12">
        <v>30</v>
      </c>
      <c r="R12">
        <v>0.2</v>
      </c>
      <c r="S12">
        <v>10</v>
      </c>
      <c r="T12">
        <v>20</v>
      </c>
      <c r="U12">
        <f>100-(R12+S12+T12)</f>
        <v>69.8</v>
      </c>
      <c r="V12">
        <v>623</v>
      </c>
      <c r="AK12" s="60">
        <v>12</v>
      </c>
      <c r="AL12" s="61">
        <v>3.1</v>
      </c>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2"/>
      <c r="BL12" s="62"/>
      <c r="BM12" s="62"/>
      <c r="BN12" s="62"/>
      <c r="BO12" s="62"/>
      <c r="BP12" s="62"/>
      <c r="BQ12" s="62"/>
      <c r="BR12" s="62"/>
      <c r="BS12" s="62"/>
      <c r="BT12" s="62"/>
      <c r="BU12" s="62"/>
    </row>
    <row r="13" spans="1:73" ht="19.8" thickBot="1" x14ac:dyDescent="0.35">
      <c r="A13" s="22">
        <v>11</v>
      </c>
      <c r="B13" s="19" t="s">
        <v>46</v>
      </c>
      <c r="C13" s="19" t="s">
        <v>47</v>
      </c>
      <c r="D13" s="19" t="s">
        <v>305</v>
      </c>
      <c r="H13" s="8" t="s">
        <v>101</v>
      </c>
      <c r="I13" s="8">
        <v>200</v>
      </c>
      <c r="K13" s="9" t="s">
        <v>14</v>
      </c>
      <c r="L13" s="9">
        <v>500</v>
      </c>
      <c r="P13" t="s">
        <v>70</v>
      </c>
      <c r="Q13">
        <v>30</v>
      </c>
      <c r="R13">
        <v>0.5</v>
      </c>
      <c r="S13">
        <v>10</v>
      </c>
      <c r="T13">
        <v>20</v>
      </c>
      <c r="U13">
        <f>100-(R13+S13+T13)</f>
        <v>69.5</v>
      </c>
      <c r="V13">
        <v>723</v>
      </c>
      <c r="AK13" s="60">
        <v>13</v>
      </c>
      <c r="AL13" s="61">
        <v>4.8</v>
      </c>
      <c r="AM13" s="61">
        <v>5.4</v>
      </c>
      <c r="AN13" s="61">
        <v>5.5</v>
      </c>
      <c r="AO13" s="61">
        <v>5.6</v>
      </c>
      <c r="AP13" s="61">
        <v>8.1</v>
      </c>
      <c r="AQ13" s="61">
        <v>14.5</v>
      </c>
      <c r="AR13" s="61">
        <v>15.4</v>
      </c>
      <c r="AS13" s="61">
        <v>15.6</v>
      </c>
      <c r="AT13" s="61">
        <v>15.7</v>
      </c>
      <c r="AU13" s="61">
        <v>16.100000000000001</v>
      </c>
      <c r="AV13" s="61">
        <v>16.2</v>
      </c>
      <c r="AW13" s="61">
        <v>16.3</v>
      </c>
      <c r="AX13" s="61">
        <v>16.399999999999999</v>
      </c>
      <c r="AY13" s="61">
        <v>17.5</v>
      </c>
      <c r="AZ13" s="61">
        <v>19.3</v>
      </c>
      <c r="BA13" s="61">
        <v>19.5</v>
      </c>
      <c r="BB13" s="61"/>
      <c r="BC13" s="61"/>
      <c r="BD13" s="61"/>
      <c r="BE13" s="61"/>
      <c r="BF13" s="61"/>
      <c r="BG13" s="61"/>
      <c r="BH13" s="61"/>
      <c r="BI13" s="61"/>
      <c r="BJ13" s="61"/>
      <c r="BK13" s="62"/>
      <c r="BL13" s="62"/>
      <c r="BM13" s="62"/>
      <c r="BN13" s="62"/>
      <c r="BO13" s="62"/>
      <c r="BP13" s="62"/>
      <c r="BQ13" s="62"/>
      <c r="BR13" s="62"/>
      <c r="BS13" s="62"/>
      <c r="BT13" s="62"/>
      <c r="BU13" s="62"/>
    </row>
    <row r="14" spans="1:73" ht="19.8" thickBot="1" x14ac:dyDescent="0.35">
      <c r="A14" s="22">
        <v>12</v>
      </c>
      <c r="B14" s="19" t="s">
        <v>48</v>
      </c>
      <c r="C14" s="19" t="s">
        <v>49</v>
      </c>
      <c r="D14" s="23" t="s">
        <v>314</v>
      </c>
      <c r="H14" s="8" t="s">
        <v>100</v>
      </c>
      <c r="I14" s="8">
        <v>500</v>
      </c>
      <c r="K14" s="9" t="s">
        <v>13</v>
      </c>
      <c r="L14" s="9">
        <v>1000</v>
      </c>
      <c r="P14" t="s">
        <v>71</v>
      </c>
      <c r="Q14">
        <v>50</v>
      </c>
      <c r="R14">
        <v>0.5</v>
      </c>
      <c r="S14">
        <v>20</v>
      </c>
      <c r="T14">
        <v>20</v>
      </c>
      <c r="U14">
        <f>100-(R14+S14+T14)</f>
        <v>59.5</v>
      </c>
      <c r="V14">
        <v>632</v>
      </c>
      <c r="AK14" s="60">
        <v>14</v>
      </c>
      <c r="AL14" s="61">
        <v>4.8</v>
      </c>
      <c r="AM14" s="61">
        <v>5.6</v>
      </c>
      <c r="AN14" s="61">
        <v>8.1</v>
      </c>
      <c r="AO14" s="61">
        <v>10.199999999999999</v>
      </c>
      <c r="AP14" s="61">
        <v>11.5</v>
      </c>
      <c r="AQ14" s="61">
        <v>15.1</v>
      </c>
      <c r="AR14" s="61">
        <v>15.3</v>
      </c>
      <c r="AS14" s="61">
        <v>15.4</v>
      </c>
      <c r="AT14" s="61">
        <v>15.5</v>
      </c>
      <c r="AU14" s="61">
        <v>16.100000000000001</v>
      </c>
      <c r="AV14" s="61">
        <v>16.2</v>
      </c>
      <c r="AW14" s="61">
        <v>16.3</v>
      </c>
      <c r="AX14" s="61">
        <v>16.399999999999999</v>
      </c>
      <c r="AY14" s="61"/>
      <c r="AZ14" s="61"/>
      <c r="BA14" s="61"/>
      <c r="BB14" s="61"/>
      <c r="BC14" s="61"/>
      <c r="BD14" s="61"/>
      <c r="BE14" s="61"/>
      <c r="BF14" s="61"/>
      <c r="BG14" s="61"/>
      <c r="BH14" s="61"/>
      <c r="BI14" s="61"/>
      <c r="BJ14" s="61"/>
      <c r="BK14" s="62"/>
      <c r="BL14" s="62"/>
      <c r="BM14" s="62"/>
      <c r="BN14" s="62"/>
      <c r="BO14" s="62"/>
      <c r="BP14" s="62"/>
      <c r="BQ14" s="62"/>
      <c r="BR14" s="62"/>
      <c r="BS14" s="62"/>
      <c r="BT14" s="62"/>
      <c r="BU14" s="62"/>
    </row>
    <row r="15" spans="1:73" ht="19.8" thickBot="1" x14ac:dyDescent="0.35">
      <c r="A15" s="22">
        <v>13</v>
      </c>
      <c r="B15" s="19" t="s">
        <v>50</v>
      </c>
      <c r="C15" s="19" t="s">
        <v>39</v>
      </c>
      <c r="D15" s="19" t="s">
        <v>680</v>
      </c>
      <c r="H15" s="8" t="s">
        <v>99</v>
      </c>
      <c r="I15" s="8">
        <v>1000</v>
      </c>
      <c r="K15" s="11" t="s">
        <v>12</v>
      </c>
      <c r="L15" s="10">
        <v>3000</v>
      </c>
      <c r="P15" t="s">
        <v>72</v>
      </c>
      <c r="Q15">
        <v>50</v>
      </c>
      <c r="R15">
        <v>0.1</v>
      </c>
      <c r="S15">
        <v>20</v>
      </c>
      <c r="T15">
        <v>20</v>
      </c>
      <c r="U15">
        <f>100-(R15+S15+T15)</f>
        <v>59.9</v>
      </c>
      <c r="V15">
        <v>552</v>
      </c>
      <c r="Y15" s="603" t="s">
        <v>78</v>
      </c>
      <c r="Z15" s="604"/>
      <c r="AB15" s="603" t="s">
        <v>79</v>
      </c>
      <c r="AC15" s="604"/>
      <c r="AE15" s="603" t="s">
        <v>80</v>
      </c>
      <c r="AF15" s="604"/>
      <c r="AH15" s="605" t="s">
        <v>81</v>
      </c>
      <c r="AI15" s="606"/>
      <c r="AK15" s="60">
        <v>15</v>
      </c>
      <c r="AL15" s="61">
        <v>1.1000000000000001</v>
      </c>
      <c r="AM15" s="61">
        <v>1.2</v>
      </c>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2"/>
      <c r="BL15" s="62"/>
      <c r="BM15" s="62"/>
      <c r="BN15" s="62"/>
      <c r="BO15" s="62"/>
      <c r="BP15" s="62"/>
      <c r="BQ15" s="62"/>
      <c r="BR15" s="62"/>
      <c r="BS15" s="62"/>
      <c r="BT15" s="62"/>
      <c r="BU15" s="62"/>
    </row>
    <row r="16" spans="1:73" ht="31.8" thickBot="1" x14ac:dyDescent="0.35">
      <c r="A16" s="22">
        <v>14</v>
      </c>
      <c r="B16" s="19" t="s">
        <v>51</v>
      </c>
      <c r="C16" s="19" t="s">
        <v>43</v>
      </c>
      <c r="D16" s="23" t="s">
        <v>310</v>
      </c>
      <c r="H16" s="8" t="s">
        <v>98</v>
      </c>
      <c r="I16" s="8">
        <v>2000</v>
      </c>
      <c r="K16" s="9" t="s">
        <v>73</v>
      </c>
      <c r="L16" s="9">
        <v>5000</v>
      </c>
      <c r="P16" t="s">
        <v>4</v>
      </c>
      <c r="Q16">
        <v>0</v>
      </c>
      <c r="R16">
        <v>0</v>
      </c>
      <c r="S16">
        <v>0</v>
      </c>
      <c r="T16">
        <v>0</v>
      </c>
      <c r="U16">
        <v>0</v>
      </c>
      <c r="V16">
        <v>0</v>
      </c>
      <c r="Y16" s="602"/>
      <c r="Z16" s="602"/>
      <c r="AA16" s="602"/>
      <c r="AB16" s="602"/>
      <c r="AC16" s="602"/>
      <c r="AD16" s="602"/>
      <c r="AE16" s="602"/>
      <c r="AF16" s="602"/>
      <c r="AG16" s="602"/>
      <c r="AH16" s="602"/>
      <c r="AI16" s="602"/>
      <c r="AK16" s="60">
        <v>16</v>
      </c>
      <c r="AL16" s="61">
        <v>2.1</v>
      </c>
      <c r="AM16" s="61">
        <v>2.2000000000000002</v>
      </c>
      <c r="AN16" s="61">
        <v>2.2999999999999998</v>
      </c>
      <c r="AO16" s="61">
        <v>2.4</v>
      </c>
      <c r="AP16" s="61">
        <v>2.5</v>
      </c>
      <c r="AQ16" s="61">
        <v>3.1</v>
      </c>
      <c r="AR16" s="61">
        <v>3.2</v>
      </c>
      <c r="AS16" s="61">
        <v>3.3</v>
      </c>
      <c r="AT16" s="61">
        <v>4.0999999999999996</v>
      </c>
      <c r="AU16" s="61">
        <v>4.2</v>
      </c>
      <c r="AV16" s="61">
        <v>4.3</v>
      </c>
      <c r="AW16" s="61">
        <v>4.4000000000000004</v>
      </c>
      <c r="AX16" s="61">
        <v>4.5</v>
      </c>
      <c r="AY16" s="61">
        <v>4.5999999999999996</v>
      </c>
      <c r="AZ16" s="61">
        <v>4.7</v>
      </c>
      <c r="BA16" s="61">
        <v>4.8</v>
      </c>
      <c r="BB16" s="61">
        <v>5.0999999999999996</v>
      </c>
      <c r="BC16" s="61">
        <v>5.2</v>
      </c>
      <c r="BD16" s="61">
        <v>5.3</v>
      </c>
      <c r="BE16" s="61">
        <v>5.4</v>
      </c>
      <c r="BF16" s="61">
        <v>5.5</v>
      </c>
      <c r="BG16" s="61">
        <v>5.6</v>
      </c>
      <c r="BH16" s="61">
        <v>5.7</v>
      </c>
      <c r="BI16" s="61">
        <v>5.8</v>
      </c>
      <c r="BJ16" s="61">
        <v>5.9</v>
      </c>
      <c r="BK16" s="61">
        <v>8.1</v>
      </c>
      <c r="BL16" s="61">
        <v>11.1</v>
      </c>
      <c r="BM16" s="61">
        <v>11.2</v>
      </c>
      <c r="BN16" s="61">
        <v>14.2</v>
      </c>
      <c r="BO16" s="61">
        <v>14.6</v>
      </c>
      <c r="BP16" s="61">
        <v>15.5</v>
      </c>
      <c r="BQ16" s="61">
        <v>16.100000000000001</v>
      </c>
      <c r="BR16" s="61">
        <v>16.399999999999999</v>
      </c>
      <c r="BS16" s="61">
        <v>17.100000000000001</v>
      </c>
      <c r="BT16" s="61">
        <v>17.3</v>
      </c>
      <c r="BU16" s="61">
        <v>18.100000000000001</v>
      </c>
    </row>
    <row r="17" spans="1:73" ht="19.8" thickBot="1" x14ac:dyDescent="0.35">
      <c r="A17" s="22">
        <v>15</v>
      </c>
      <c r="B17" s="19" t="s">
        <v>52</v>
      </c>
      <c r="C17" s="19" t="s">
        <v>39</v>
      </c>
      <c r="D17" s="19" t="s">
        <v>306</v>
      </c>
      <c r="H17" s="8" t="s">
        <v>97</v>
      </c>
      <c r="I17" s="8">
        <v>5000</v>
      </c>
      <c r="O17">
        <v>2</v>
      </c>
      <c r="P17" t="s">
        <v>60</v>
      </c>
      <c r="Q17">
        <v>200</v>
      </c>
      <c r="R17">
        <v>2</v>
      </c>
      <c r="S17">
        <v>10</v>
      </c>
      <c r="T17">
        <v>20</v>
      </c>
      <c r="U17">
        <v>68</v>
      </c>
      <c r="V17">
        <v>183</v>
      </c>
      <c r="Y17" s="600">
        <v>10000</v>
      </c>
      <c r="Z17" s="600"/>
      <c r="AA17" s="600" t="s">
        <v>87</v>
      </c>
      <c r="AB17" s="592">
        <v>1</v>
      </c>
      <c r="AC17" s="592"/>
      <c r="AD17" s="592" t="s">
        <v>87</v>
      </c>
      <c r="AE17" s="592" t="s">
        <v>27</v>
      </c>
      <c r="AF17" s="592" t="str">
        <f>'Front Sheet HHSRS Revision BSv1'!O142</f>
        <v/>
      </c>
      <c r="AG17" s="592" t="s">
        <v>88</v>
      </c>
      <c r="AH17" s="593" t="str">
        <f>IF(AF17="","",Y17*(AB17/AB18)*AF17)</f>
        <v/>
      </c>
      <c r="AI17" s="594"/>
      <c r="AK17" s="60">
        <v>17</v>
      </c>
      <c r="AL17" s="61">
        <v>3.1</v>
      </c>
      <c r="AM17" s="61">
        <v>3.2</v>
      </c>
      <c r="AN17" s="61">
        <v>3.3</v>
      </c>
      <c r="AO17" s="61">
        <v>4.0999999999999996</v>
      </c>
      <c r="AP17" s="61">
        <v>5.0999999999999996</v>
      </c>
      <c r="AQ17" s="61">
        <v>18.100000000000001</v>
      </c>
      <c r="AR17" s="61"/>
      <c r="AS17" s="61"/>
      <c r="AT17" s="61"/>
      <c r="AU17" s="61"/>
      <c r="AV17" s="61"/>
      <c r="AW17" s="61"/>
      <c r="AX17" s="61"/>
      <c r="AY17" s="61"/>
      <c r="AZ17" s="61"/>
      <c r="BA17" s="61"/>
      <c r="BB17" s="61"/>
      <c r="BC17" s="61"/>
      <c r="BD17" s="61"/>
      <c r="BE17" s="61"/>
      <c r="BF17" s="61"/>
      <c r="BG17" s="61"/>
      <c r="BH17" s="61"/>
      <c r="BI17" s="61"/>
      <c r="BJ17" s="61"/>
      <c r="BK17" s="62"/>
      <c r="BL17" s="62"/>
      <c r="BM17" s="62"/>
      <c r="BN17" s="62"/>
      <c r="BO17" s="62"/>
      <c r="BP17" s="62"/>
      <c r="BQ17" s="62"/>
      <c r="BR17" s="62"/>
      <c r="BS17" s="62"/>
      <c r="BT17" s="62"/>
      <c r="BU17" s="62"/>
    </row>
    <row r="18" spans="1:73" ht="31.2" x14ac:dyDescent="0.3">
      <c r="A18" s="22">
        <v>16</v>
      </c>
      <c r="B18" s="19" t="s">
        <v>53</v>
      </c>
      <c r="C18" s="19" t="s">
        <v>39</v>
      </c>
      <c r="D18" s="23" t="s">
        <v>309</v>
      </c>
      <c r="I18" s="7"/>
      <c r="P18" t="s">
        <v>61</v>
      </c>
      <c r="Q18">
        <v>200</v>
      </c>
      <c r="R18">
        <v>2</v>
      </c>
      <c r="S18">
        <v>5</v>
      </c>
      <c r="T18">
        <v>20</v>
      </c>
      <c r="U18">
        <v>73</v>
      </c>
      <c r="V18">
        <v>159</v>
      </c>
      <c r="Y18" s="601"/>
      <c r="Z18" s="601"/>
      <c r="AA18" s="601"/>
      <c r="AB18" s="592" t="str">
        <f>'Front Sheet HHSRS Revision BSv1'!O115</f>
        <v/>
      </c>
      <c r="AC18" s="592"/>
      <c r="AD18" s="592"/>
      <c r="AE18" s="592"/>
      <c r="AF18" s="592"/>
      <c r="AG18" s="592"/>
      <c r="AH18" s="595"/>
      <c r="AI18" s="596"/>
      <c r="AK18" s="60">
        <v>18</v>
      </c>
      <c r="AL18" s="61">
        <v>4.0999999999999996</v>
      </c>
      <c r="AM18" s="61">
        <v>5.0999999999999996</v>
      </c>
      <c r="AN18" s="61">
        <v>5.3</v>
      </c>
      <c r="AO18" s="61">
        <v>7.1</v>
      </c>
      <c r="AP18" s="61">
        <v>7.2</v>
      </c>
      <c r="AQ18" s="61">
        <v>7.3</v>
      </c>
      <c r="AR18" s="61">
        <v>7.4</v>
      </c>
      <c r="AS18" s="61">
        <v>8.1</v>
      </c>
      <c r="AT18" s="61"/>
      <c r="AU18" s="61"/>
      <c r="AV18" s="61"/>
      <c r="AW18" s="61"/>
      <c r="AX18" s="61"/>
      <c r="AY18" s="61"/>
      <c r="AZ18" s="61"/>
      <c r="BA18" s="61"/>
      <c r="BB18" s="61"/>
      <c r="BC18" s="61"/>
      <c r="BD18" s="61"/>
      <c r="BE18" s="61"/>
      <c r="BF18" s="61"/>
      <c r="BG18" s="61"/>
      <c r="BH18" s="61"/>
      <c r="BI18" s="61"/>
      <c r="BJ18" s="61"/>
      <c r="BK18" s="62"/>
      <c r="BL18" s="62"/>
      <c r="BM18" s="62"/>
      <c r="BN18" s="62"/>
      <c r="BO18" s="62"/>
      <c r="BP18" s="62"/>
      <c r="BQ18" s="62"/>
      <c r="BR18" s="62"/>
      <c r="BS18" s="62"/>
      <c r="BT18" s="62"/>
      <c r="BU18" s="62"/>
    </row>
    <row r="19" spans="1:73" x14ac:dyDescent="0.3">
      <c r="A19" s="22">
        <v>17</v>
      </c>
      <c r="B19" s="19" t="s">
        <v>54</v>
      </c>
      <c r="C19" s="19" t="s">
        <v>39</v>
      </c>
      <c r="D19" s="23" t="s">
        <v>308</v>
      </c>
      <c r="P19" t="s">
        <v>62</v>
      </c>
      <c r="Q19">
        <v>200</v>
      </c>
      <c r="R19">
        <v>2</v>
      </c>
      <c r="S19">
        <v>5</v>
      </c>
      <c r="T19">
        <v>20</v>
      </c>
      <c r="U19">
        <v>73</v>
      </c>
      <c r="V19">
        <v>159</v>
      </c>
      <c r="Y19" s="599"/>
      <c r="Z19" s="599"/>
      <c r="AA19" s="599"/>
      <c r="AB19" s="599"/>
      <c r="AC19" s="599"/>
      <c r="AD19" s="599"/>
      <c r="AE19" s="599"/>
      <c r="AF19" s="599"/>
      <c r="AG19" s="599"/>
      <c r="AH19" s="599"/>
      <c r="AI19" s="599"/>
      <c r="AK19" s="60">
        <v>19</v>
      </c>
      <c r="AL19" s="61">
        <v>7.1</v>
      </c>
      <c r="AM19" s="61">
        <v>9.1</v>
      </c>
      <c r="AN19" s="61">
        <v>11.1</v>
      </c>
      <c r="AO19" s="61">
        <v>11.2</v>
      </c>
      <c r="AP19" s="61">
        <v>11.3</v>
      </c>
      <c r="AQ19" s="61">
        <v>11.4</v>
      </c>
      <c r="AR19" s="61">
        <v>11.5</v>
      </c>
      <c r="AS19" s="61">
        <v>14.4</v>
      </c>
      <c r="AT19" s="61">
        <v>16.2</v>
      </c>
      <c r="AU19" s="61">
        <v>17.100000000000001</v>
      </c>
      <c r="AV19" s="61"/>
      <c r="AW19" s="61"/>
      <c r="AX19" s="61"/>
      <c r="AY19" s="61"/>
      <c r="AZ19" s="61"/>
      <c r="BA19" s="61"/>
      <c r="BB19" s="61"/>
      <c r="BC19" s="61"/>
      <c r="BD19" s="61"/>
      <c r="BE19" s="61"/>
      <c r="BF19" s="61"/>
      <c r="BG19" s="61"/>
      <c r="BH19" s="61"/>
      <c r="BI19" s="61"/>
      <c r="BJ19" s="61"/>
      <c r="BK19" s="62"/>
      <c r="BL19" s="62"/>
      <c r="BM19" s="62"/>
      <c r="BN19" s="62"/>
      <c r="BO19" s="62"/>
      <c r="BP19" s="62"/>
      <c r="BQ19" s="62"/>
      <c r="BR19" s="62"/>
      <c r="BS19" s="62"/>
      <c r="BT19" s="62"/>
      <c r="BU19" s="62"/>
    </row>
    <row r="20" spans="1:73" ht="31.2" x14ac:dyDescent="0.3">
      <c r="A20" s="22">
        <v>18</v>
      </c>
      <c r="B20" s="19" t="s">
        <v>55</v>
      </c>
      <c r="C20" s="19" t="s">
        <v>39</v>
      </c>
      <c r="D20" s="23" t="s">
        <v>307</v>
      </c>
      <c r="H20" s="607" t="s">
        <v>110</v>
      </c>
      <c r="I20" s="608"/>
      <c r="J20" s="608" t="str">
        <f>IF('Front Sheet HHSRS Revision BSv1'!I182="","",'Helper Cells'!Y17*(1/'Front Sheet HHSRS Revision BSv1'!E178)*'Front Sheet HHSRS Revision BSv1'!I182)</f>
        <v/>
      </c>
      <c r="K20" s="609"/>
      <c r="P20" t="s">
        <v>63</v>
      </c>
      <c r="Q20">
        <v>200</v>
      </c>
      <c r="R20">
        <v>1</v>
      </c>
      <c r="S20">
        <v>5</v>
      </c>
      <c r="T20">
        <v>20</v>
      </c>
      <c r="U20">
        <v>74</v>
      </c>
      <c r="V20">
        <v>109</v>
      </c>
      <c r="Y20" s="600">
        <v>1000</v>
      </c>
      <c r="Z20" s="600"/>
      <c r="AA20" s="600" t="s">
        <v>87</v>
      </c>
      <c r="AB20" s="592">
        <v>1</v>
      </c>
      <c r="AC20" s="592"/>
      <c r="AD20" s="592" t="s">
        <v>87</v>
      </c>
      <c r="AE20" s="592" t="s">
        <v>28</v>
      </c>
      <c r="AF20" s="592" t="str">
        <f>'Front Sheet HHSRS Revision BSv1'!O146</f>
        <v/>
      </c>
      <c r="AG20" s="592" t="s">
        <v>88</v>
      </c>
      <c r="AH20" s="593" t="str">
        <f>IF(AF20="","",Y20*(AB20/AB21)*AF20)</f>
        <v/>
      </c>
      <c r="AI20" s="594"/>
      <c r="AK20" s="60">
        <v>20</v>
      </c>
      <c r="AL20" s="61">
        <v>1.1000000000000001</v>
      </c>
      <c r="AM20" s="61">
        <v>8.1</v>
      </c>
      <c r="AN20" s="61">
        <v>10.1</v>
      </c>
      <c r="AO20" s="61">
        <v>10.199999999999999</v>
      </c>
      <c r="AP20" s="61">
        <v>15.5</v>
      </c>
      <c r="AQ20" s="61">
        <v>16.399999999999999</v>
      </c>
      <c r="AR20" s="61"/>
      <c r="AS20" s="61"/>
      <c r="AT20" s="61"/>
      <c r="AU20" s="61"/>
      <c r="AV20" s="61"/>
      <c r="AW20" s="61"/>
      <c r="AX20" s="61"/>
      <c r="AY20" s="61"/>
      <c r="AZ20" s="61"/>
      <c r="BA20" s="61"/>
      <c r="BB20" s="61"/>
      <c r="BC20" s="61"/>
      <c r="BD20" s="61"/>
      <c r="BE20" s="61"/>
      <c r="BF20" s="61"/>
      <c r="BG20" s="61"/>
      <c r="BH20" s="61"/>
      <c r="BI20" s="61"/>
      <c r="BJ20" s="61"/>
      <c r="BK20" s="62"/>
      <c r="BL20" s="62"/>
      <c r="BM20" s="62"/>
      <c r="BN20" s="62"/>
      <c r="BO20" s="62"/>
      <c r="BP20" s="62"/>
      <c r="BQ20" s="62"/>
      <c r="BR20" s="62"/>
      <c r="BS20" s="62"/>
      <c r="BT20" s="62"/>
      <c r="BU20" s="62"/>
    </row>
    <row r="21" spans="1:73" x14ac:dyDescent="0.3">
      <c r="A21" s="22">
        <v>19</v>
      </c>
      <c r="B21" s="19" t="s">
        <v>56</v>
      </c>
      <c r="C21" s="19" t="s">
        <v>39</v>
      </c>
      <c r="D21" s="23" t="s">
        <v>311</v>
      </c>
      <c r="H21" s="610" t="s">
        <v>111</v>
      </c>
      <c r="I21" s="611"/>
      <c r="J21" s="611" t="str">
        <f>IF('Front Sheet HHSRS Revision BSv1'!K182="","",'Helper Cells'!Y20*(1/'Front Sheet HHSRS Revision BSv1'!E178)*'Front Sheet HHSRS Revision BSv1'!K182)</f>
        <v/>
      </c>
      <c r="K21" s="614"/>
      <c r="P21" t="s">
        <v>64</v>
      </c>
      <c r="Q21">
        <v>0</v>
      </c>
      <c r="R21">
        <v>2</v>
      </c>
      <c r="S21">
        <v>5</v>
      </c>
      <c r="T21">
        <v>20</v>
      </c>
      <c r="U21">
        <v>73</v>
      </c>
      <c r="V21">
        <v>159</v>
      </c>
      <c r="Y21" s="601"/>
      <c r="Z21" s="601"/>
      <c r="AA21" s="601"/>
      <c r="AB21" s="597" t="str">
        <f>'Front Sheet HHSRS Revision BSv1'!O115</f>
        <v/>
      </c>
      <c r="AC21" s="598"/>
      <c r="AD21" s="592"/>
      <c r="AE21" s="592"/>
      <c r="AF21" s="592"/>
      <c r="AG21" s="592"/>
      <c r="AH21" s="595"/>
      <c r="AI21" s="596"/>
      <c r="AK21" s="60">
        <v>21</v>
      </c>
      <c r="AL21" s="61">
        <v>8.1</v>
      </c>
      <c r="AM21" s="61">
        <v>11.1</v>
      </c>
      <c r="AN21" s="61">
        <v>11.5</v>
      </c>
      <c r="AO21" s="61">
        <v>14.1</v>
      </c>
      <c r="AP21" s="61">
        <v>14.2</v>
      </c>
      <c r="AQ21" s="61">
        <v>14.3</v>
      </c>
      <c r="AR21" s="61">
        <v>14.4</v>
      </c>
      <c r="AS21" s="61">
        <v>16.2</v>
      </c>
      <c r="AT21" s="61">
        <v>16.3</v>
      </c>
      <c r="AU21" s="61"/>
      <c r="AV21" s="61"/>
      <c r="AW21" s="61"/>
      <c r="AX21" s="61"/>
      <c r="AY21" s="61"/>
      <c r="AZ21" s="61"/>
      <c r="BA21" s="61"/>
      <c r="BB21" s="61"/>
      <c r="BC21" s="61"/>
      <c r="BD21" s="61"/>
      <c r="BE21" s="61"/>
      <c r="BF21" s="61"/>
      <c r="BG21" s="61"/>
      <c r="BH21" s="61"/>
      <c r="BI21" s="61"/>
      <c r="BJ21" s="61"/>
      <c r="BK21" s="62"/>
      <c r="BL21" s="62"/>
      <c r="BM21" s="62"/>
      <c r="BN21" s="62"/>
      <c r="BO21" s="62"/>
      <c r="BP21" s="62"/>
      <c r="BQ21" s="62"/>
      <c r="BR21" s="62"/>
      <c r="BS21" s="62"/>
      <c r="BT21" s="62"/>
      <c r="BU21" s="62"/>
    </row>
    <row r="22" spans="1:73" x14ac:dyDescent="0.3">
      <c r="A22" s="22">
        <v>20</v>
      </c>
      <c r="B22" s="19" t="s">
        <v>57</v>
      </c>
      <c r="C22" s="19" t="s">
        <v>39</v>
      </c>
      <c r="D22" s="23" t="s">
        <v>312</v>
      </c>
      <c r="H22" s="610" t="s">
        <v>112</v>
      </c>
      <c r="I22" s="611"/>
      <c r="J22" s="611" t="str">
        <f>IF('Front Sheet HHSRS Revision BSv1'!M182="","",'Helper Cells'!Y23*(1/'Front Sheet HHSRS Revision BSv1'!E178)*'Front Sheet HHSRS Revision BSv1'!M182)</f>
        <v/>
      </c>
      <c r="K22" s="614"/>
      <c r="P22" t="s">
        <v>65</v>
      </c>
      <c r="Q22">
        <v>200</v>
      </c>
      <c r="R22">
        <v>2</v>
      </c>
      <c r="S22">
        <v>5</v>
      </c>
      <c r="T22">
        <v>20</v>
      </c>
      <c r="U22">
        <v>73</v>
      </c>
      <c r="V22">
        <v>159</v>
      </c>
      <c r="Y22" s="599"/>
      <c r="Z22" s="599"/>
      <c r="AA22" s="599"/>
      <c r="AB22" s="599"/>
      <c r="AC22" s="599"/>
      <c r="AD22" s="599"/>
      <c r="AE22" s="599"/>
      <c r="AF22" s="599"/>
      <c r="AG22" s="599"/>
      <c r="AH22" s="599"/>
      <c r="AI22" s="599"/>
    </row>
    <row r="23" spans="1:73" x14ac:dyDescent="0.3">
      <c r="A23" s="22">
        <v>21</v>
      </c>
      <c r="B23" s="19" t="s">
        <v>58</v>
      </c>
      <c r="C23" s="19" t="s">
        <v>39</v>
      </c>
      <c r="D23" s="23" t="s">
        <v>313</v>
      </c>
      <c r="H23" s="612" t="s">
        <v>113</v>
      </c>
      <c r="I23" s="613"/>
      <c r="J23" s="613" t="str">
        <f>IF('Front Sheet HHSRS Revision BSv1'!O182="","",'Helper Cells'!Y26*(1/'Front Sheet HHSRS Revision BSv1'!E178)*'Front Sheet HHSRS Revision BSv1'!O182)</f>
        <v/>
      </c>
      <c r="K23" s="615"/>
      <c r="P23" t="s">
        <v>66</v>
      </c>
      <c r="Q23">
        <v>200</v>
      </c>
      <c r="R23">
        <v>2</v>
      </c>
      <c r="S23">
        <v>5</v>
      </c>
      <c r="T23">
        <v>20</v>
      </c>
      <c r="U23">
        <v>73</v>
      </c>
      <c r="V23">
        <v>159</v>
      </c>
      <c r="Y23" s="600">
        <v>300</v>
      </c>
      <c r="Z23" s="600"/>
      <c r="AA23" s="600" t="s">
        <v>87</v>
      </c>
      <c r="AB23" s="592">
        <v>1</v>
      </c>
      <c r="AC23" s="592"/>
      <c r="AD23" s="592" t="s">
        <v>87</v>
      </c>
      <c r="AE23" s="592" t="s">
        <v>29</v>
      </c>
      <c r="AF23" s="592" t="str">
        <f>'Front Sheet HHSRS Revision BSv1'!O150</f>
        <v/>
      </c>
      <c r="AG23" s="592" t="s">
        <v>88</v>
      </c>
      <c r="AH23" s="593" t="str">
        <f>IF(AF23="","",Y23*(AB23/AB24)*AF23)</f>
        <v/>
      </c>
      <c r="AI23" s="594"/>
    </row>
    <row r="24" spans="1:73" x14ac:dyDescent="0.3">
      <c r="K24">
        <f>SUM(J20:K23)</f>
        <v>0</v>
      </c>
      <c r="P24" t="s">
        <v>67</v>
      </c>
      <c r="Q24">
        <v>200</v>
      </c>
      <c r="R24">
        <v>2</v>
      </c>
      <c r="S24">
        <v>5</v>
      </c>
      <c r="T24">
        <v>20</v>
      </c>
      <c r="U24">
        <v>73</v>
      </c>
      <c r="V24">
        <v>159</v>
      </c>
      <c r="Y24" s="601"/>
      <c r="Z24" s="601"/>
      <c r="AA24" s="601"/>
      <c r="AB24" s="597" t="str">
        <f>'Front Sheet HHSRS Revision BSv1'!O115</f>
        <v/>
      </c>
      <c r="AC24" s="598"/>
      <c r="AD24" s="592"/>
      <c r="AE24" s="592"/>
      <c r="AF24" s="592"/>
      <c r="AG24" s="592"/>
      <c r="AH24" s="595"/>
      <c r="AI24" s="596"/>
    </row>
    <row r="25" spans="1:73" x14ac:dyDescent="0.3">
      <c r="A25">
        <f>IF($D$14=10,1,0)</f>
        <v>0</v>
      </c>
      <c r="P25" t="s">
        <v>68</v>
      </c>
      <c r="Q25">
        <v>200</v>
      </c>
      <c r="R25">
        <v>2</v>
      </c>
      <c r="S25">
        <v>5</v>
      </c>
      <c r="T25">
        <v>20</v>
      </c>
      <c r="U25">
        <v>73</v>
      </c>
      <c r="V25">
        <v>159</v>
      </c>
      <c r="Y25" s="599"/>
      <c r="Z25" s="599"/>
      <c r="AA25" s="599"/>
      <c r="AB25" s="599"/>
      <c r="AC25" s="599"/>
      <c r="AD25" s="599"/>
      <c r="AE25" s="599"/>
      <c r="AF25" s="599"/>
      <c r="AG25" s="599"/>
      <c r="AH25" s="599"/>
      <c r="AI25" s="599"/>
    </row>
    <row r="26" spans="1:73" x14ac:dyDescent="0.3">
      <c r="P26" t="s">
        <v>59</v>
      </c>
      <c r="Q26">
        <v>200</v>
      </c>
      <c r="R26">
        <v>2</v>
      </c>
      <c r="S26">
        <v>5</v>
      </c>
      <c r="T26">
        <v>20</v>
      </c>
      <c r="U26">
        <v>73</v>
      </c>
      <c r="V26">
        <v>159</v>
      </c>
      <c r="Y26" s="600">
        <v>10</v>
      </c>
      <c r="Z26" s="600"/>
      <c r="AA26" s="600" t="s">
        <v>87</v>
      </c>
      <c r="AB26" s="592">
        <v>1</v>
      </c>
      <c r="AC26" s="592"/>
      <c r="AD26" s="592" t="s">
        <v>87</v>
      </c>
      <c r="AE26" s="592" t="s">
        <v>30</v>
      </c>
      <c r="AF26" s="592" t="str">
        <f>'Front Sheet HHSRS Revision BSv1'!O154</f>
        <v/>
      </c>
      <c r="AG26" s="592" t="s">
        <v>88</v>
      </c>
      <c r="AH26" s="593" t="str">
        <f>IF(AF26="","",Y26*(AB26/AB27)*AF26)</f>
        <v/>
      </c>
      <c r="AI26" s="594"/>
    </row>
    <row r="27" spans="1:73" x14ac:dyDescent="0.3">
      <c r="C27" s="138" t="s">
        <v>778</v>
      </c>
      <c r="H27" t="str">
        <f>IF(K24&gt;=1000, I4, IF(K24&lt;100, I2, IF(AND(K24&gt;=100,K24&lt;999), I3,"")))</f>
        <v>LOW</v>
      </c>
      <c r="P27" t="s">
        <v>114</v>
      </c>
      <c r="Q27">
        <v>0</v>
      </c>
      <c r="R27">
        <v>0</v>
      </c>
      <c r="S27">
        <v>0</v>
      </c>
      <c r="T27">
        <v>0</v>
      </c>
      <c r="U27">
        <v>0</v>
      </c>
      <c r="V27">
        <v>0</v>
      </c>
      <c r="Y27" s="601"/>
      <c r="Z27" s="601"/>
      <c r="AA27" s="601"/>
      <c r="AB27" s="597" t="str">
        <f>'Front Sheet HHSRS Revision BSv1'!O115</f>
        <v/>
      </c>
      <c r="AC27" s="598"/>
      <c r="AD27" s="592"/>
      <c r="AE27" s="592"/>
      <c r="AF27" s="592"/>
      <c r="AG27" s="592"/>
      <c r="AH27" s="595"/>
      <c r="AI27" s="596"/>
    </row>
    <row r="28" spans="1:73" x14ac:dyDescent="0.3">
      <c r="P28" t="s">
        <v>69</v>
      </c>
      <c r="Q28">
        <v>200</v>
      </c>
      <c r="R28">
        <v>5</v>
      </c>
      <c r="S28">
        <v>10</v>
      </c>
      <c r="T28">
        <v>20</v>
      </c>
      <c r="U28">
        <v>65</v>
      </c>
      <c r="V28">
        <v>333</v>
      </c>
    </row>
    <row r="29" spans="1:73" x14ac:dyDescent="0.3">
      <c r="A29" t="s">
        <v>60</v>
      </c>
      <c r="B29" s="16">
        <v>800</v>
      </c>
      <c r="P29" t="s">
        <v>70</v>
      </c>
      <c r="Q29">
        <v>200</v>
      </c>
      <c r="R29">
        <v>2</v>
      </c>
      <c r="S29">
        <v>2</v>
      </c>
      <c r="T29">
        <v>20</v>
      </c>
      <c r="U29">
        <v>76</v>
      </c>
      <c r="V29">
        <v>144</v>
      </c>
      <c r="AI29">
        <f>SUM(AH17, AH20, AH23, AH26)</f>
        <v>0</v>
      </c>
    </row>
    <row r="30" spans="1:73" x14ac:dyDescent="0.3">
      <c r="A30" t="s">
        <v>61</v>
      </c>
      <c r="B30" s="16">
        <v>400</v>
      </c>
      <c r="P30" t="s">
        <v>71</v>
      </c>
      <c r="Q30">
        <v>300</v>
      </c>
      <c r="R30">
        <v>2</v>
      </c>
      <c r="S30">
        <v>5</v>
      </c>
      <c r="T30">
        <v>20</v>
      </c>
      <c r="U30">
        <v>73</v>
      </c>
      <c r="V30">
        <v>106</v>
      </c>
    </row>
    <row r="31" spans="1:73" x14ac:dyDescent="0.3">
      <c r="A31" t="s">
        <v>62</v>
      </c>
      <c r="B31" s="16">
        <v>200</v>
      </c>
      <c r="P31" t="s">
        <v>72</v>
      </c>
      <c r="Q31">
        <v>300</v>
      </c>
      <c r="R31">
        <v>2</v>
      </c>
      <c r="S31">
        <v>5</v>
      </c>
      <c r="T31">
        <v>20</v>
      </c>
      <c r="U31">
        <v>73</v>
      </c>
      <c r="V31">
        <v>106</v>
      </c>
      <c r="Y31">
        <v>1</v>
      </c>
      <c r="AA31">
        <v>0</v>
      </c>
    </row>
    <row r="32" spans="1:73" x14ac:dyDescent="0.3">
      <c r="A32" t="s">
        <v>63</v>
      </c>
      <c r="B32" s="16">
        <v>150</v>
      </c>
      <c r="P32" t="s">
        <v>4</v>
      </c>
      <c r="Q32">
        <v>0</v>
      </c>
      <c r="R32">
        <v>0</v>
      </c>
      <c r="S32">
        <v>0</v>
      </c>
      <c r="T32">
        <v>0</v>
      </c>
      <c r="U32">
        <v>0</v>
      </c>
      <c r="V32">
        <v>0</v>
      </c>
      <c r="Y32">
        <v>2</v>
      </c>
      <c r="AA32">
        <v>0.1</v>
      </c>
    </row>
    <row r="33" spans="1:27" x14ac:dyDescent="0.3">
      <c r="A33" t="s">
        <v>64</v>
      </c>
      <c r="B33" s="16">
        <v>100</v>
      </c>
      <c r="O33">
        <v>3</v>
      </c>
      <c r="P33" t="s">
        <v>60</v>
      </c>
      <c r="Q33">
        <v>3000</v>
      </c>
      <c r="R33">
        <v>0.1</v>
      </c>
      <c r="S33">
        <v>0</v>
      </c>
      <c r="T33">
        <v>10</v>
      </c>
      <c r="U33">
        <v>89.9</v>
      </c>
      <c r="V33">
        <v>2</v>
      </c>
      <c r="Y33">
        <v>3</v>
      </c>
      <c r="AA33">
        <v>0.2</v>
      </c>
    </row>
    <row r="34" spans="1:27" x14ac:dyDescent="0.3">
      <c r="A34" t="s">
        <v>65</v>
      </c>
      <c r="B34" s="16">
        <v>50</v>
      </c>
      <c r="P34" t="s">
        <v>61</v>
      </c>
      <c r="Q34">
        <v>2000</v>
      </c>
      <c r="R34">
        <v>0.2</v>
      </c>
      <c r="S34">
        <v>2</v>
      </c>
      <c r="T34">
        <v>10</v>
      </c>
      <c r="U34">
        <v>87.8</v>
      </c>
      <c r="V34">
        <v>4</v>
      </c>
      <c r="Y34">
        <v>5</v>
      </c>
      <c r="AA34">
        <v>0.5</v>
      </c>
    </row>
    <row r="35" spans="1:27" x14ac:dyDescent="0.3">
      <c r="A35" t="s">
        <v>66</v>
      </c>
      <c r="B35" s="16">
        <v>25</v>
      </c>
      <c r="P35" t="s">
        <v>62</v>
      </c>
      <c r="Q35">
        <v>1000</v>
      </c>
      <c r="R35">
        <v>0.2</v>
      </c>
      <c r="S35">
        <v>2</v>
      </c>
      <c r="T35">
        <v>10</v>
      </c>
      <c r="U35">
        <v>87.8</v>
      </c>
      <c r="V35">
        <v>8</v>
      </c>
      <c r="Y35">
        <v>10</v>
      </c>
      <c r="AA35">
        <v>1</v>
      </c>
    </row>
    <row r="36" spans="1:27" x14ac:dyDescent="0.3">
      <c r="A36" t="s">
        <v>67</v>
      </c>
      <c r="B36" t="s">
        <v>59</v>
      </c>
      <c r="P36" t="s">
        <v>63</v>
      </c>
      <c r="Q36">
        <v>3000</v>
      </c>
      <c r="R36">
        <v>0</v>
      </c>
      <c r="S36">
        <v>0</v>
      </c>
      <c r="T36">
        <v>20</v>
      </c>
      <c r="U36">
        <v>80</v>
      </c>
      <c r="V36">
        <v>2</v>
      </c>
      <c r="Y36">
        <v>20</v>
      </c>
      <c r="AA36">
        <v>2</v>
      </c>
    </row>
    <row r="37" spans="1:27" x14ac:dyDescent="0.3">
      <c r="A37" t="s">
        <v>68</v>
      </c>
      <c r="P37" t="s">
        <v>64</v>
      </c>
      <c r="Q37">
        <v>2000</v>
      </c>
      <c r="R37">
        <v>0.2</v>
      </c>
      <c r="S37">
        <v>2</v>
      </c>
      <c r="T37">
        <v>10</v>
      </c>
      <c r="U37">
        <v>87.8</v>
      </c>
      <c r="V37">
        <v>4</v>
      </c>
      <c r="Y37">
        <v>30</v>
      </c>
      <c r="AA37">
        <v>5</v>
      </c>
    </row>
    <row r="38" spans="1:27" x14ac:dyDescent="0.3">
      <c r="A38" t="s">
        <v>59</v>
      </c>
      <c r="P38" t="s">
        <v>65</v>
      </c>
      <c r="Q38">
        <v>2000</v>
      </c>
      <c r="R38">
        <v>0.2</v>
      </c>
      <c r="S38">
        <v>2</v>
      </c>
      <c r="T38">
        <v>10</v>
      </c>
      <c r="U38">
        <v>87.8</v>
      </c>
      <c r="V38">
        <v>4</v>
      </c>
      <c r="Y38">
        <v>50</v>
      </c>
      <c r="AA38">
        <v>10</v>
      </c>
    </row>
    <row r="39" spans="1:27" x14ac:dyDescent="0.3">
      <c r="A39" t="s">
        <v>114</v>
      </c>
      <c r="P39" t="s">
        <v>66</v>
      </c>
      <c r="Q39">
        <v>2000</v>
      </c>
      <c r="R39">
        <v>0.2</v>
      </c>
      <c r="S39">
        <v>2</v>
      </c>
      <c r="T39">
        <v>10</v>
      </c>
      <c r="U39">
        <v>87.8</v>
      </c>
      <c r="V39">
        <v>4</v>
      </c>
      <c r="Y39">
        <v>100</v>
      </c>
      <c r="AA39">
        <v>20</v>
      </c>
    </row>
    <row r="40" spans="1:27" x14ac:dyDescent="0.3">
      <c r="A40" t="s">
        <v>69</v>
      </c>
      <c r="P40" t="s">
        <v>67</v>
      </c>
      <c r="Q40">
        <v>2000</v>
      </c>
      <c r="R40">
        <v>0.2</v>
      </c>
      <c r="S40">
        <v>2</v>
      </c>
      <c r="T40">
        <v>10</v>
      </c>
      <c r="U40">
        <v>87.8</v>
      </c>
      <c r="V40">
        <v>4</v>
      </c>
      <c r="Y40">
        <v>200</v>
      </c>
      <c r="AA40">
        <v>30</v>
      </c>
    </row>
    <row r="41" spans="1:27" x14ac:dyDescent="0.3">
      <c r="A41" t="s">
        <v>70</v>
      </c>
      <c r="P41" t="s">
        <v>68</v>
      </c>
      <c r="Q41">
        <v>2000</v>
      </c>
      <c r="R41">
        <v>0.2</v>
      </c>
      <c r="S41">
        <v>2</v>
      </c>
      <c r="T41">
        <v>10</v>
      </c>
      <c r="U41">
        <v>87.8</v>
      </c>
      <c r="V41">
        <v>4</v>
      </c>
      <c r="Y41">
        <v>300</v>
      </c>
      <c r="AA41">
        <v>50</v>
      </c>
    </row>
    <row r="42" spans="1:27" x14ac:dyDescent="0.3">
      <c r="A42" t="s">
        <v>71</v>
      </c>
      <c r="P42" t="s">
        <v>59</v>
      </c>
      <c r="Q42">
        <v>2000</v>
      </c>
      <c r="R42">
        <v>0.2</v>
      </c>
      <c r="S42">
        <v>2</v>
      </c>
      <c r="T42">
        <v>10</v>
      </c>
      <c r="U42">
        <v>87.8</v>
      </c>
      <c r="V42">
        <v>4</v>
      </c>
      <c r="Y42">
        <v>500</v>
      </c>
      <c r="AA42" t="s">
        <v>771</v>
      </c>
    </row>
    <row r="43" spans="1:27" x14ac:dyDescent="0.3">
      <c r="A43" t="s">
        <v>72</v>
      </c>
      <c r="P43" t="s">
        <v>114</v>
      </c>
      <c r="Q43">
        <v>0</v>
      </c>
      <c r="R43">
        <v>0</v>
      </c>
      <c r="S43">
        <v>0</v>
      </c>
      <c r="T43">
        <v>0</v>
      </c>
      <c r="U43">
        <v>0</v>
      </c>
      <c r="V43">
        <v>0</v>
      </c>
      <c r="Y43">
        <v>1000</v>
      </c>
    </row>
    <row r="44" spans="1:27" x14ac:dyDescent="0.3">
      <c r="A44" t="s">
        <v>4</v>
      </c>
      <c r="P44" t="s">
        <v>69</v>
      </c>
      <c r="Q44">
        <v>3000</v>
      </c>
      <c r="R44">
        <v>0.5</v>
      </c>
      <c r="S44">
        <v>2</v>
      </c>
      <c r="T44">
        <v>5</v>
      </c>
      <c r="U44">
        <v>92.5</v>
      </c>
      <c r="V44">
        <v>3</v>
      </c>
      <c r="Y44">
        <v>2000</v>
      </c>
    </row>
    <row r="45" spans="1:27" x14ac:dyDescent="0.3">
      <c r="P45" t="s">
        <v>70</v>
      </c>
      <c r="Q45">
        <v>3000</v>
      </c>
      <c r="R45">
        <v>0.5</v>
      </c>
      <c r="S45">
        <v>2</v>
      </c>
      <c r="T45">
        <v>5</v>
      </c>
      <c r="U45">
        <v>92.5</v>
      </c>
      <c r="V45">
        <v>3</v>
      </c>
      <c r="Y45">
        <v>3000</v>
      </c>
    </row>
    <row r="46" spans="1:27" x14ac:dyDescent="0.3">
      <c r="P46" t="s">
        <v>71</v>
      </c>
      <c r="Q46">
        <v>2000</v>
      </c>
      <c r="R46">
        <v>0.5</v>
      </c>
      <c r="S46">
        <v>2</v>
      </c>
      <c r="T46">
        <v>5</v>
      </c>
      <c r="U46">
        <v>92.5</v>
      </c>
      <c r="V46">
        <v>5</v>
      </c>
      <c r="Y46">
        <v>5000</v>
      </c>
    </row>
    <row r="47" spans="1:27" x14ac:dyDescent="0.3">
      <c r="P47" t="s">
        <v>72</v>
      </c>
      <c r="Q47">
        <v>1000</v>
      </c>
      <c r="R47">
        <v>0.5</v>
      </c>
      <c r="S47">
        <v>2</v>
      </c>
      <c r="T47">
        <v>5</v>
      </c>
      <c r="U47">
        <v>92.5</v>
      </c>
      <c r="V47">
        <v>9</v>
      </c>
    </row>
    <row r="48" spans="1:27" x14ac:dyDescent="0.3">
      <c r="P48" t="s">
        <v>4</v>
      </c>
      <c r="Q48">
        <v>0</v>
      </c>
      <c r="R48">
        <v>0</v>
      </c>
      <c r="S48">
        <v>0</v>
      </c>
      <c r="T48">
        <v>0</v>
      </c>
      <c r="U48">
        <v>0</v>
      </c>
      <c r="V48">
        <v>0</v>
      </c>
    </row>
    <row r="49" spans="15:22" x14ac:dyDescent="0.3">
      <c r="O49">
        <v>4</v>
      </c>
      <c r="P49" t="s">
        <v>60</v>
      </c>
      <c r="Q49">
        <v>5000</v>
      </c>
      <c r="R49">
        <v>10</v>
      </c>
      <c r="S49">
        <v>2</v>
      </c>
      <c r="T49">
        <v>10</v>
      </c>
      <c r="U49">
        <v>78</v>
      </c>
      <c r="V49">
        <v>21</v>
      </c>
    </row>
    <row r="50" spans="15:22" x14ac:dyDescent="0.3">
      <c r="P50" t="s">
        <v>61</v>
      </c>
      <c r="Q50">
        <v>5000</v>
      </c>
      <c r="R50">
        <v>20</v>
      </c>
      <c r="S50">
        <v>2</v>
      </c>
      <c r="T50">
        <v>5</v>
      </c>
      <c r="U50">
        <v>73</v>
      </c>
      <c r="V50">
        <v>41</v>
      </c>
    </row>
    <row r="51" spans="15:22" x14ac:dyDescent="0.3">
      <c r="P51" t="s">
        <v>62</v>
      </c>
      <c r="Q51">
        <v>5000</v>
      </c>
      <c r="R51">
        <v>10</v>
      </c>
      <c r="S51">
        <v>2</v>
      </c>
      <c r="T51">
        <v>10</v>
      </c>
      <c r="U51">
        <v>78</v>
      </c>
      <c r="V51">
        <v>21</v>
      </c>
    </row>
    <row r="52" spans="15:22" x14ac:dyDescent="0.3">
      <c r="P52" t="s">
        <v>63</v>
      </c>
      <c r="Q52">
        <v>5000</v>
      </c>
      <c r="R52">
        <v>10</v>
      </c>
      <c r="S52">
        <v>0</v>
      </c>
      <c r="T52">
        <v>10</v>
      </c>
      <c r="U52">
        <v>80</v>
      </c>
      <c r="V52">
        <v>21</v>
      </c>
    </row>
    <row r="53" spans="15:22" x14ac:dyDescent="0.3">
      <c r="P53" t="s">
        <v>64</v>
      </c>
      <c r="Q53">
        <v>5000</v>
      </c>
      <c r="R53">
        <v>10</v>
      </c>
      <c r="S53">
        <v>2</v>
      </c>
      <c r="T53">
        <v>5</v>
      </c>
      <c r="U53">
        <v>83</v>
      </c>
      <c r="V53">
        <v>21</v>
      </c>
    </row>
    <row r="54" spans="15:22" x14ac:dyDescent="0.3">
      <c r="P54" t="s">
        <v>65</v>
      </c>
      <c r="Q54">
        <v>5000</v>
      </c>
      <c r="R54">
        <v>10</v>
      </c>
      <c r="S54">
        <v>2</v>
      </c>
      <c r="T54">
        <v>5</v>
      </c>
      <c r="U54">
        <v>83</v>
      </c>
      <c r="V54">
        <v>21</v>
      </c>
    </row>
    <row r="55" spans="15:22" x14ac:dyDescent="0.3">
      <c r="P55" t="s">
        <v>66</v>
      </c>
      <c r="Q55">
        <v>5000</v>
      </c>
      <c r="R55">
        <v>10</v>
      </c>
      <c r="S55">
        <v>2</v>
      </c>
      <c r="T55">
        <v>5</v>
      </c>
      <c r="U55">
        <v>83</v>
      </c>
      <c r="V55">
        <v>21</v>
      </c>
    </row>
    <row r="56" spans="15:22" x14ac:dyDescent="0.3">
      <c r="P56" t="s">
        <v>67</v>
      </c>
      <c r="Q56">
        <v>5000</v>
      </c>
      <c r="R56">
        <v>10</v>
      </c>
      <c r="S56">
        <v>2</v>
      </c>
      <c r="T56">
        <v>5</v>
      </c>
      <c r="U56">
        <v>83</v>
      </c>
      <c r="V56">
        <v>21</v>
      </c>
    </row>
    <row r="57" spans="15:22" x14ac:dyDescent="0.3">
      <c r="P57" t="s">
        <v>68</v>
      </c>
      <c r="Q57">
        <v>5000</v>
      </c>
      <c r="R57">
        <v>10</v>
      </c>
      <c r="S57">
        <v>2</v>
      </c>
      <c r="T57">
        <v>5</v>
      </c>
      <c r="U57">
        <v>83</v>
      </c>
      <c r="V57">
        <v>21</v>
      </c>
    </row>
    <row r="58" spans="15:22" x14ac:dyDescent="0.3">
      <c r="P58" t="s">
        <v>59</v>
      </c>
      <c r="Q58">
        <v>5000</v>
      </c>
      <c r="R58">
        <v>10</v>
      </c>
      <c r="S58">
        <v>2</v>
      </c>
      <c r="T58">
        <v>5</v>
      </c>
      <c r="U58">
        <v>83</v>
      </c>
      <c r="V58">
        <v>21</v>
      </c>
    </row>
    <row r="59" spans="15:22" x14ac:dyDescent="0.3">
      <c r="P59" t="s">
        <v>114</v>
      </c>
      <c r="Q59">
        <v>0</v>
      </c>
      <c r="R59">
        <v>0</v>
      </c>
      <c r="S59">
        <v>0</v>
      </c>
      <c r="T59">
        <v>0</v>
      </c>
      <c r="U59">
        <v>0</v>
      </c>
      <c r="V59">
        <v>0</v>
      </c>
    </row>
    <row r="60" spans="15:22" x14ac:dyDescent="0.3">
      <c r="P60" t="s">
        <v>69</v>
      </c>
      <c r="Q60">
        <v>2000</v>
      </c>
      <c r="R60">
        <v>10</v>
      </c>
      <c r="S60">
        <v>0</v>
      </c>
      <c r="T60">
        <v>5</v>
      </c>
      <c r="U60">
        <v>85</v>
      </c>
      <c r="V60">
        <v>51</v>
      </c>
    </row>
    <row r="61" spans="15:22" x14ac:dyDescent="0.3">
      <c r="P61" t="s">
        <v>70</v>
      </c>
      <c r="Q61">
        <v>5000</v>
      </c>
      <c r="R61">
        <v>10</v>
      </c>
      <c r="S61">
        <v>5</v>
      </c>
      <c r="T61">
        <v>5</v>
      </c>
      <c r="U61">
        <v>80</v>
      </c>
      <c r="V61">
        <v>21</v>
      </c>
    </row>
    <row r="62" spans="15:22" x14ac:dyDescent="0.3">
      <c r="P62" t="s">
        <v>71</v>
      </c>
      <c r="Q62">
        <v>3000</v>
      </c>
      <c r="R62">
        <v>10</v>
      </c>
      <c r="S62">
        <v>0</v>
      </c>
      <c r="T62">
        <v>5</v>
      </c>
      <c r="U62">
        <v>85</v>
      </c>
      <c r="V62">
        <v>34</v>
      </c>
    </row>
    <row r="63" spans="15:22" x14ac:dyDescent="0.3">
      <c r="P63" t="s">
        <v>72</v>
      </c>
      <c r="Q63">
        <v>3000</v>
      </c>
      <c r="R63">
        <v>5</v>
      </c>
      <c r="S63">
        <v>0</v>
      </c>
      <c r="T63">
        <v>5</v>
      </c>
      <c r="U63">
        <v>90</v>
      </c>
      <c r="V63">
        <v>17</v>
      </c>
    </row>
    <row r="64" spans="15:22" x14ac:dyDescent="0.3">
      <c r="P64" t="s">
        <v>4</v>
      </c>
      <c r="Q64">
        <v>0</v>
      </c>
      <c r="R64">
        <v>0</v>
      </c>
      <c r="S64">
        <v>0</v>
      </c>
      <c r="T64">
        <v>0</v>
      </c>
      <c r="U64">
        <v>0</v>
      </c>
      <c r="V64">
        <v>0</v>
      </c>
    </row>
    <row r="65" spans="15:22" x14ac:dyDescent="0.3">
      <c r="O65">
        <v>5</v>
      </c>
      <c r="P65" t="s">
        <v>60</v>
      </c>
      <c r="Q65">
        <v>200</v>
      </c>
      <c r="R65">
        <v>0</v>
      </c>
      <c r="S65">
        <v>1</v>
      </c>
      <c r="T65">
        <v>20</v>
      </c>
      <c r="U65">
        <v>79</v>
      </c>
      <c r="V65">
        <v>39</v>
      </c>
    </row>
    <row r="66" spans="15:22" x14ac:dyDescent="0.3">
      <c r="P66" t="s">
        <v>61</v>
      </c>
      <c r="Q66">
        <v>200</v>
      </c>
      <c r="R66">
        <v>0</v>
      </c>
      <c r="S66">
        <v>5</v>
      </c>
      <c r="T66">
        <v>20</v>
      </c>
      <c r="U66">
        <v>75</v>
      </c>
      <c r="V66">
        <v>59</v>
      </c>
    </row>
    <row r="67" spans="15:22" x14ac:dyDescent="0.3">
      <c r="P67" t="s">
        <v>62</v>
      </c>
      <c r="Q67">
        <v>200</v>
      </c>
      <c r="R67">
        <v>0</v>
      </c>
      <c r="S67">
        <v>1</v>
      </c>
      <c r="T67">
        <v>20</v>
      </c>
      <c r="U67">
        <v>79</v>
      </c>
      <c r="V67">
        <v>39</v>
      </c>
    </row>
    <row r="68" spans="15:22" x14ac:dyDescent="0.3">
      <c r="P68" t="s">
        <v>63</v>
      </c>
      <c r="Q68">
        <v>200</v>
      </c>
      <c r="R68">
        <v>0</v>
      </c>
      <c r="S68">
        <v>1</v>
      </c>
      <c r="T68">
        <v>20</v>
      </c>
      <c r="U68">
        <v>79</v>
      </c>
      <c r="V68">
        <v>39</v>
      </c>
    </row>
    <row r="69" spans="15:22" x14ac:dyDescent="0.3">
      <c r="P69" t="s">
        <v>64</v>
      </c>
      <c r="Q69">
        <v>200</v>
      </c>
      <c r="R69">
        <v>0</v>
      </c>
      <c r="S69">
        <v>1</v>
      </c>
      <c r="T69">
        <v>20</v>
      </c>
      <c r="U69">
        <v>79</v>
      </c>
      <c r="V69">
        <v>39</v>
      </c>
    </row>
    <row r="70" spans="15:22" x14ac:dyDescent="0.3">
      <c r="P70" t="s">
        <v>65</v>
      </c>
      <c r="Q70">
        <v>200</v>
      </c>
      <c r="R70">
        <v>0</v>
      </c>
      <c r="S70">
        <v>1</v>
      </c>
      <c r="T70">
        <v>20</v>
      </c>
      <c r="U70">
        <v>79</v>
      </c>
      <c r="V70">
        <v>39</v>
      </c>
    </row>
    <row r="71" spans="15:22" x14ac:dyDescent="0.3">
      <c r="P71" t="s">
        <v>66</v>
      </c>
      <c r="Q71">
        <v>200</v>
      </c>
      <c r="R71">
        <v>0</v>
      </c>
      <c r="S71">
        <v>1</v>
      </c>
      <c r="T71">
        <v>20</v>
      </c>
      <c r="U71">
        <v>79</v>
      </c>
      <c r="V71">
        <v>39</v>
      </c>
    </row>
    <row r="72" spans="15:22" x14ac:dyDescent="0.3">
      <c r="P72" t="s">
        <v>67</v>
      </c>
      <c r="Q72">
        <v>200</v>
      </c>
      <c r="R72">
        <v>0</v>
      </c>
      <c r="S72">
        <v>1</v>
      </c>
      <c r="T72">
        <v>20</v>
      </c>
      <c r="U72">
        <v>79</v>
      </c>
      <c r="V72">
        <v>39</v>
      </c>
    </row>
    <row r="73" spans="15:22" x14ac:dyDescent="0.3">
      <c r="P73" t="s">
        <v>68</v>
      </c>
      <c r="Q73">
        <v>200</v>
      </c>
      <c r="R73">
        <v>0</v>
      </c>
      <c r="S73">
        <v>1</v>
      </c>
      <c r="T73">
        <v>20</v>
      </c>
      <c r="U73">
        <v>79</v>
      </c>
      <c r="V73">
        <v>39</v>
      </c>
    </row>
    <row r="74" spans="15:22" x14ac:dyDescent="0.3">
      <c r="P74" t="s">
        <v>59</v>
      </c>
      <c r="Q74">
        <v>200</v>
      </c>
      <c r="R74">
        <v>0</v>
      </c>
      <c r="S74">
        <v>1</v>
      </c>
      <c r="T74">
        <v>20</v>
      </c>
      <c r="U74">
        <v>79</v>
      </c>
      <c r="V74">
        <v>39</v>
      </c>
    </row>
    <row r="75" spans="15:22" x14ac:dyDescent="0.3">
      <c r="P75" t="s">
        <v>114</v>
      </c>
      <c r="Q75">
        <v>0</v>
      </c>
      <c r="R75">
        <v>0</v>
      </c>
      <c r="S75">
        <v>0</v>
      </c>
      <c r="T75">
        <v>0</v>
      </c>
      <c r="U75">
        <v>0</v>
      </c>
      <c r="V75">
        <v>0</v>
      </c>
    </row>
    <row r="76" spans="15:22" x14ac:dyDescent="0.3">
      <c r="P76" t="s">
        <v>69</v>
      </c>
      <c r="Q76">
        <v>300</v>
      </c>
      <c r="R76">
        <v>0.1</v>
      </c>
      <c r="S76">
        <v>5</v>
      </c>
      <c r="T76">
        <v>20</v>
      </c>
      <c r="U76">
        <v>74.900000000000006</v>
      </c>
      <c r="V76">
        <v>42</v>
      </c>
    </row>
    <row r="77" spans="15:22" x14ac:dyDescent="0.3">
      <c r="P77" t="s">
        <v>70</v>
      </c>
      <c r="Q77">
        <v>300</v>
      </c>
      <c r="R77">
        <v>0.2</v>
      </c>
      <c r="S77">
        <v>0</v>
      </c>
      <c r="T77">
        <v>20</v>
      </c>
      <c r="U77">
        <v>79.8</v>
      </c>
      <c r="V77">
        <v>29</v>
      </c>
    </row>
    <row r="78" spans="15:22" x14ac:dyDescent="0.3">
      <c r="P78" t="s">
        <v>71</v>
      </c>
      <c r="Q78">
        <v>200</v>
      </c>
      <c r="R78">
        <v>0</v>
      </c>
      <c r="S78">
        <v>2</v>
      </c>
      <c r="T78">
        <v>20</v>
      </c>
      <c r="U78">
        <v>78</v>
      </c>
      <c r="V78">
        <v>44</v>
      </c>
    </row>
    <row r="79" spans="15:22" x14ac:dyDescent="0.3">
      <c r="P79" t="s">
        <v>72</v>
      </c>
      <c r="Q79">
        <v>100</v>
      </c>
      <c r="R79">
        <v>0</v>
      </c>
      <c r="S79">
        <v>0</v>
      </c>
      <c r="T79">
        <v>30</v>
      </c>
      <c r="U79">
        <v>70</v>
      </c>
      <c r="V79">
        <v>97</v>
      </c>
    </row>
    <row r="80" spans="15:22" x14ac:dyDescent="0.3">
      <c r="P80" t="s">
        <v>4</v>
      </c>
      <c r="Q80">
        <v>0</v>
      </c>
      <c r="R80">
        <v>0</v>
      </c>
      <c r="S80">
        <v>0</v>
      </c>
      <c r="T80">
        <v>0</v>
      </c>
      <c r="U80">
        <v>0</v>
      </c>
      <c r="V80">
        <v>0</v>
      </c>
    </row>
    <row r="81" spans="15:22" x14ac:dyDescent="0.3">
      <c r="O81">
        <v>6</v>
      </c>
      <c r="P81" t="s">
        <v>60</v>
      </c>
      <c r="Q81">
        <v>20</v>
      </c>
      <c r="R81">
        <v>0</v>
      </c>
      <c r="S81">
        <v>0.2</v>
      </c>
      <c r="T81">
        <v>5</v>
      </c>
      <c r="U81">
        <v>94.8</v>
      </c>
      <c r="V81">
        <v>132</v>
      </c>
    </row>
    <row r="82" spans="15:22" x14ac:dyDescent="0.3">
      <c r="P82" t="s">
        <v>61</v>
      </c>
      <c r="Q82">
        <v>20</v>
      </c>
      <c r="R82">
        <v>0</v>
      </c>
      <c r="S82">
        <v>0.2</v>
      </c>
      <c r="T82">
        <v>5</v>
      </c>
      <c r="U82">
        <v>94.8</v>
      </c>
      <c r="V82">
        <v>132</v>
      </c>
    </row>
    <row r="83" spans="15:22" x14ac:dyDescent="0.3">
      <c r="P83" t="s">
        <v>62</v>
      </c>
      <c r="Q83">
        <v>20</v>
      </c>
      <c r="R83">
        <v>0</v>
      </c>
      <c r="S83">
        <v>0.1</v>
      </c>
      <c r="T83">
        <v>5</v>
      </c>
      <c r="U83">
        <v>94.9</v>
      </c>
      <c r="V83">
        <v>127</v>
      </c>
    </row>
    <row r="84" spans="15:22" x14ac:dyDescent="0.3">
      <c r="P84" t="s">
        <v>63</v>
      </c>
      <c r="Q84">
        <v>20</v>
      </c>
      <c r="R84">
        <v>0</v>
      </c>
      <c r="S84">
        <v>0.2</v>
      </c>
      <c r="T84">
        <v>5</v>
      </c>
      <c r="U84">
        <v>94.8</v>
      </c>
      <c r="V84">
        <v>132</v>
      </c>
    </row>
    <row r="85" spans="15:22" x14ac:dyDescent="0.3">
      <c r="P85" t="s">
        <v>64</v>
      </c>
      <c r="Q85">
        <v>20</v>
      </c>
      <c r="R85">
        <v>0</v>
      </c>
      <c r="S85">
        <v>0.2</v>
      </c>
      <c r="T85">
        <v>5</v>
      </c>
      <c r="U85">
        <v>94.8</v>
      </c>
      <c r="V85">
        <v>132</v>
      </c>
    </row>
    <row r="86" spans="15:22" x14ac:dyDescent="0.3">
      <c r="P86" t="s">
        <v>65</v>
      </c>
      <c r="Q86">
        <v>20</v>
      </c>
      <c r="R86">
        <v>0</v>
      </c>
      <c r="S86">
        <v>0.2</v>
      </c>
      <c r="T86">
        <v>5</v>
      </c>
      <c r="U86">
        <v>94.8</v>
      </c>
      <c r="V86">
        <v>132</v>
      </c>
    </row>
    <row r="87" spans="15:22" x14ac:dyDescent="0.3">
      <c r="P87" t="s">
        <v>66</v>
      </c>
      <c r="Q87">
        <v>20</v>
      </c>
      <c r="R87">
        <v>0</v>
      </c>
      <c r="S87">
        <v>0.2</v>
      </c>
      <c r="T87">
        <v>5</v>
      </c>
      <c r="U87">
        <v>94.8</v>
      </c>
      <c r="V87">
        <v>132</v>
      </c>
    </row>
    <row r="88" spans="15:22" x14ac:dyDescent="0.3">
      <c r="P88" t="s">
        <v>67</v>
      </c>
      <c r="Q88">
        <v>20</v>
      </c>
      <c r="R88">
        <v>0</v>
      </c>
      <c r="S88">
        <v>0.2</v>
      </c>
      <c r="T88">
        <v>5</v>
      </c>
      <c r="U88">
        <v>94.8</v>
      </c>
      <c r="V88">
        <v>132</v>
      </c>
    </row>
    <row r="89" spans="15:22" x14ac:dyDescent="0.3">
      <c r="P89" t="s">
        <v>68</v>
      </c>
      <c r="Q89">
        <v>20</v>
      </c>
      <c r="R89">
        <v>0</v>
      </c>
      <c r="S89">
        <v>0.2</v>
      </c>
      <c r="T89">
        <v>5</v>
      </c>
      <c r="U89">
        <v>94.8</v>
      </c>
      <c r="V89">
        <v>132</v>
      </c>
    </row>
    <row r="90" spans="15:22" x14ac:dyDescent="0.3">
      <c r="P90" t="s">
        <v>59</v>
      </c>
      <c r="Q90">
        <v>20</v>
      </c>
      <c r="R90">
        <v>0</v>
      </c>
      <c r="S90">
        <v>0.2</v>
      </c>
      <c r="T90">
        <v>5</v>
      </c>
      <c r="U90">
        <v>94.8</v>
      </c>
      <c r="V90">
        <v>132</v>
      </c>
    </row>
    <row r="91" spans="15:22" x14ac:dyDescent="0.3">
      <c r="P91" t="s">
        <v>114</v>
      </c>
      <c r="Q91">
        <v>0</v>
      </c>
      <c r="R91">
        <v>0</v>
      </c>
      <c r="S91">
        <v>0</v>
      </c>
      <c r="T91">
        <v>0</v>
      </c>
      <c r="U91">
        <v>0</v>
      </c>
      <c r="V91">
        <v>0</v>
      </c>
    </row>
    <row r="92" spans="15:22" x14ac:dyDescent="0.3">
      <c r="P92" t="s">
        <v>69</v>
      </c>
      <c r="Q92">
        <v>50</v>
      </c>
      <c r="R92">
        <v>0</v>
      </c>
      <c r="S92">
        <v>0.1</v>
      </c>
      <c r="T92">
        <v>5</v>
      </c>
      <c r="U92">
        <v>94.9</v>
      </c>
      <c r="V92">
        <v>51</v>
      </c>
    </row>
    <row r="93" spans="15:22" x14ac:dyDescent="0.3">
      <c r="P93" t="s">
        <v>70</v>
      </c>
      <c r="Q93">
        <v>50</v>
      </c>
      <c r="R93">
        <v>0</v>
      </c>
      <c r="S93">
        <v>0.1</v>
      </c>
      <c r="T93">
        <v>5</v>
      </c>
      <c r="U93">
        <v>94.9</v>
      </c>
      <c r="V93">
        <v>51</v>
      </c>
    </row>
    <row r="94" spans="15:22" x14ac:dyDescent="0.3">
      <c r="P94" t="s">
        <v>71</v>
      </c>
      <c r="Q94">
        <v>20</v>
      </c>
      <c r="R94">
        <v>0</v>
      </c>
      <c r="S94">
        <v>0.2</v>
      </c>
      <c r="T94">
        <v>5</v>
      </c>
      <c r="U94">
        <v>94.8</v>
      </c>
      <c r="V94">
        <v>132</v>
      </c>
    </row>
    <row r="95" spans="15:22" x14ac:dyDescent="0.3">
      <c r="P95" t="s">
        <v>72</v>
      </c>
      <c r="Q95">
        <v>20</v>
      </c>
      <c r="R95">
        <v>0</v>
      </c>
      <c r="S95">
        <v>0.1</v>
      </c>
      <c r="T95">
        <v>10</v>
      </c>
      <c r="U95">
        <v>89.9</v>
      </c>
      <c r="V95">
        <v>200</v>
      </c>
    </row>
    <row r="96" spans="15:22" x14ac:dyDescent="0.3">
      <c r="P96" t="s">
        <v>4</v>
      </c>
      <c r="Q96">
        <v>0</v>
      </c>
      <c r="R96">
        <v>0</v>
      </c>
      <c r="S96">
        <v>0</v>
      </c>
      <c r="T96">
        <v>0</v>
      </c>
      <c r="U96">
        <v>0</v>
      </c>
      <c r="V96">
        <v>0</v>
      </c>
    </row>
    <row r="97" spans="15:22" x14ac:dyDescent="0.3">
      <c r="O97">
        <v>7</v>
      </c>
      <c r="P97" t="s">
        <v>60</v>
      </c>
      <c r="Q97">
        <v>5000</v>
      </c>
      <c r="R97">
        <v>0.2</v>
      </c>
      <c r="S97">
        <v>0.5</v>
      </c>
      <c r="T97">
        <v>10</v>
      </c>
      <c r="U97">
        <f>100-(R97+S97+T97)</f>
        <v>89.3</v>
      </c>
      <c r="V97">
        <v>1</v>
      </c>
    </row>
    <row r="98" spans="15:22" x14ac:dyDescent="0.3">
      <c r="P98" t="s">
        <v>61</v>
      </c>
      <c r="Q98">
        <v>5000</v>
      </c>
      <c r="R98">
        <v>0.2</v>
      </c>
      <c r="S98">
        <v>0</v>
      </c>
      <c r="T98">
        <v>10</v>
      </c>
      <c r="U98">
        <f t="shared" ref="U98:U152" si="1">100-(R98+S98+T98)</f>
        <v>89.8</v>
      </c>
      <c r="V98">
        <v>1</v>
      </c>
    </row>
    <row r="99" spans="15:22" x14ac:dyDescent="0.3">
      <c r="P99" t="s">
        <v>62</v>
      </c>
      <c r="Q99">
        <v>5000</v>
      </c>
      <c r="R99">
        <v>0.2</v>
      </c>
      <c r="S99">
        <v>0</v>
      </c>
      <c r="T99">
        <v>10</v>
      </c>
      <c r="U99">
        <f t="shared" si="1"/>
        <v>89.8</v>
      </c>
      <c r="V99">
        <v>1</v>
      </c>
    </row>
    <row r="100" spans="15:22" x14ac:dyDescent="0.3">
      <c r="P100" t="s">
        <v>63</v>
      </c>
      <c r="Q100">
        <v>5000</v>
      </c>
      <c r="R100">
        <v>0.2</v>
      </c>
      <c r="S100">
        <v>0</v>
      </c>
      <c r="T100">
        <v>5</v>
      </c>
      <c r="U100">
        <f t="shared" si="1"/>
        <v>94.8</v>
      </c>
      <c r="V100">
        <v>1</v>
      </c>
    </row>
    <row r="101" spans="15:22" x14ac:dyDescent="0.3">
      <c r="P101" t="s">
        <v>64</v>
      </c>
      <c r="Q101">
        <v>5000</v>
      </c>
      <c r="R101">
        <v>0.2</v>
      </c>
      <c r="S101">
        <v>0.1</v>
      </c>
      <c r="T101">
        <v>10</v>
      </c>
      <c r="U101">
        <f t="shared" si="1"/>
        <v>89.7</v>
      </c>
      <c r="V101">
        <v>1</v>
      </c>
    </row>
    <row r="102" spans="15:22" x14ac:dyDescent="0.3">
      <c r="P102" t="s">
        <v>65</v>
      </c>
      <c r="Q102">
        <v>5000</v>
      </c>
      <c r="R102">
        <v>0.2</v>
      </c>
      <c r="S102">
        <v>0.1</v>
      </c>
      <c r="T102">
        <v>10</v>
      </c>
      <c r="U102">
        <f t="shared" si="1"/>
        <v>89.7</v>
      </c>
      <c r="V102">
        <v>1</v>
      </c>
    </row>
    <row r="103" spans="15:22" x14ac:dyDescent="0.3">
      <c r="P103" t="s">
        <v>66</v>
      </c>
      <c r="Q103">
        <v>5000</v>
      </c>
      <c r="R103">
        <v>0.2</v>
      </c>
      <c r="S103">
        <v>0.1</v>
      </c>
      <c r="T103">
        <v>10</v>
      </c>
      <c r="U103">
        <f t="shared" si="1"/>
        <v>89.7</v>
      </c>
      <c r="V103">
        <v>1</v>
      </c>
    </row>
    <row r="104" spans="15:22" x14ac:dyDescent="0.3">
      <c r="P104" t="s">
        <v>67</v>
      </c>
      <c r="Q104">
        <v>5000</v>
      </c>
      <c r="R104">
        <v>0.2</v>
      </c>
      <c r="S104">
        <v>0.1</v>
      </c>
      <c r="T104">
        <v>10</v>
      </c>
      <c r="U104">
        <f t="shared" si="1"/>
        <v>89.7</v>
      </c>
      <c r="V104">
        <v>1</v>
      </c>
    </row>
    <row r="105" spans="15:22" x14ac:dyDescent="0.3">
      <c r="P105" t="s">
        <v>68</v>
      </c>
      <c r="Q105">
        <v>5000</v>
      </c>
      <c r="R105">
        <v>0.2</v>
      </c>
      <c r="S105">
        <v>0.1</v>
      </c>
      <c r="T105">
        <v>10</v>
      </c>
      <c r="U105">
        <f t="shared" si="1"/>
        <v>89.7</v>
      </c>
      <c r="V105">
        <v>1</v>
      </c>
    </row>
    <row r="106" spans="15:22" x14ac:dyDescent="0.3">
      <c r="P106" t="s">
        <v>59</v>
      </c>
      <c r="Q106">
        <v>5000</v>
      </c>
      <c r="R106">
        <v>0.2</v>
      </c>
      <c r="S106">
        <v>0.1</v>
      </c>
      <c r="T106">
        <v>10</v>
      </c>
      <c r="U106">
        <f t="shared" si="1"/>
        <v>89.7</v>
      </c>
      <c r="V106">
        <v>1</v>
      </c>
    </row>
    <row r="107" spans="15:22" x14ac:dyDescent="0.3">
      <c r="P107" t="s">
        <v>114</v>
      </c>
      <c r="Q107">
        <v>0</v>
      </c>
      <c r="R107">
        <v>0</v>
      </c>
      <c r="S107">
        <v>0</v>
      </c>
      <c r="T107">
        <v>0</v>
      </c>
      <c r="U107">
        <f t="shared" si="1"/>
        <v>100</v>
      </c>
      <c r="V107">
        <v>0</v>
      </c>
    </row>
    <row r="108" spans="15:22" x14ac:dyDescent="0.3">
      <c r="P108" t="s">
        <v>69</v>
      </c>
      <c r="Q108">
        <v>5000</v>
      </c>
      <c r="R108">
        <v>0.5</v>
      </c>
      <c r="S108">
        <v>0</v>
      </c>
      <c r="T108">
        <v>10</v>
      </c>
      <c r="U108">
        <f t="shared" si="1"/>
        <v>89.5</v>
      </c>
      <c r="V108">
        <v>2</v>
      </c>
    </row>
    <row r="109" spans="15:22" x14ac:dyDescent="0.3">
      <c r="P109" t="s">
        <v>70</v>
      </c>
      <c r="Q109">
        <v>5000</v>
      </c>
      <c r="R109">
        <v>0.5</v>
      </c>
      <c r="S109">
        <v>0</v>
      </c>
      <c r="T109">
        <v>10</v>
      </c>
      <c r="U109">
        <f t="shared" si="1"/>
        <v>89.5</v>
      </c>
      <c r="V109">
        <v>2</v>
      </c>
    </row>
    <row r="110" spans="15:22" x14ac:dyDescent="0.3">
      <c r="P110" t="s">
        <v>71</v>
      </c>
      <c r="Q110">
        <v>5000</v>
      </c>
      <c r="R110">
        <v>0.5</v>
      </c>
      <c r="S110">
        <v>0</v>
      </c>
      <c r="T110">
        <v>10</v>
      </c>
      <c r="U110">
        <f t="shared" si="1"/>
        <v>89.5</v>
      </c>
      <c r="V110">
        <v>2</v>
      </c>
    </row>
    <row r="111" spans="15:22" x14ac:dyDescent="0.3">
      <c r="P111" t="s">
        <v>72</v>
      </c>
      <c r="Q111">
        <v>5000</v>
      </c>
      <c r="R111">
        <v>0.5</v>
      </c>
      <c r="S111">
        <v>0</v>
      </c>
      <c r="T111">
        <v>10</v>
      </c>
      <c r="U111">
        <f t="shared" si="1"/>
        <v>89.5</v>
      </c>
      <c r="V111">
        <v>2</v>
      </c>
    </row>
    <row r="112" spans="15:22" x14ac:dyDescent="0.3">
      <c r="P112" t="s">
        <v>4</v>
      </c>
      <c r="Q112">
        <v>0</v>
      </c>
      <c r="R112">
        <v>0</v>
      </c>
      <c r="S112">
        <v>0</v>
      </c>
      <c r="T112">
        <v>0</v>
      </c>
      <c r="U112">
        <f t="shared" si="1"/>
        <v>100</v>
      </c>
      <c r="V112">
        <v>0</v>
      </c>
    </row>
    <row r="113" spans="15:22" x14ac:dyDescent="0.3">
      <c r="O113">
        <v>8</v>
      </c>
      <c r="P113" t="s">
        <v>60</v>
      </c>
      <c r="Q113">
        <v>5000</v>
      </c>
      <c r="R113">
        <v>0.5</v>
      </c>
      <c r="S113">
        <v>10</v>
      </c>
      <c r="T113">
        <v>50</v>
      </c>
      <c r="U113">
        <f t="shared" si="1"/>
        <v>39.5</v>
      </c>
      <c r="V113">
        <v>6</v>
      </c>
    </row>
    <row r="114" spans="15:22" x14ac:dyDescent="0.3">
      <c r="P114" t="s">
        <v>61</v>
      </c>
      <c r="Q114">
        <v>5000</v>
      </c>
      <c r="R114">
        <v>0.5</v>
      </c>
      <c r="S114">
        <v>10</v>
      </c>
      <c r="T114">
        <v>50</v>
      </c>
      <c r="U114">
        <f t="shared" si="1"/>
        <v>39.5</v>
      </c>
      <c r="V114">
        <v>6</v>
      </c>
    </row>
    <row r="115" spans="15:22" x14ac:dyDescent="0.3">
      <c r="P115" t="s">
        <v>62</v>
      </c>
      <c r="Q115">
        <v>5000</v>
      </c>
      <c r="R115">
        <v>0.5</v>
      </c>
      <c r="S115">
        <v>10</v>
      </c>
      <c r="T115">
        <v>50</v>
      </c>
      <c r="U115">
        <f t="shared" si="1"/>
        <v>39.5</v>
      </c>
      <c r="V115">
        <v>6</v>
      </c>
    </row>
    <row r="116" spans="15:22" x14ac:dyDescent="0.3">
      <c r="P116" t="s">
        <v>63</v>
      </c>
      <c r="Q116">
        <v>5000</v>
      </c>
      <c r="R116">
        <v>0.5</v>
      </c>
      <c r="S116">
        <v>10</v>
      </c>
      <c r="T116">
        <v>50</v>
      </c>
      <c r="U116">
        <f t="shared" si="1"/>
        <v>39.5</v>
      </c>
      <c r="V116">
        <v>6</v>
      </c>
    </row>
    <row r="117" spans="15:22" x14ac:dyDescent="0.3">
      <c r="P117" t="s">
        <v>64</v>
      </c>
      <c r="Q117">
        <v>5000</v>
      </c>
      <c r="R117">
        <v>0.5</v>
      </c>
      <c r="S117">
        <v>10</v>
      </c>
      <c r="T117">
        <v>50</v>
      </c>
      <c r="U117">
        <f t="shared" si="1"/>
        <v>39.5</v>
      </c>
      <c r="V117">
        <v>6</v>
      </c>
    </row>
    <row r="118" spans="15:22" x14ac:dyDescent="0.3">
      <c r="P118" t="s">
        <v>65</v>
      </c>
      <c r="Q118">
        <v>5000</v>
      </c>
      <c r="R118">
        <v>0.5</v>
      </c>
      <c r="S118">
        <v>10</v>
      </c>
      <c r="T118">
        <v>50</v>
      </c>
      <c r="U118">
        <f t="shared" si="1"/>
        <v>39.5</v>
      </c>
      <c r="V118">
        <v>6</v>
      </c>
    </row>
    <row r="119" spans="15:22" x14ac:dyDescent="0.3">
      <c r="P119" t="s">
        <v>66</v>
      </c>
      <c r="Q119">
        <v>5000</v>
      </c>
      <c r="R119">
        <v>0.5</v>
      </c>
      <c r="S119">
        <v>10</v>
      </c>
      <c r="T119">
        <v>50</v>
      </c>
      <c r="U119">
        <f t="shared" si="1"/>
        <v>39.5</v>
      </c>
      <c r="V119">
        <v>6</v>
      </c>
    </row>
    <row r="120" spans="15:22" x14ac:dyDescent="0.3">
      <c r="P120" t="s">
        <v>67</v>
      </c>
      <c r="Q120">
        <v>5000</v>
      </c>
      <c r="R120">
        <v>0.5</v>
      </c>
      <c r="S120">
        <v>10</v>
      </c>
      <c r="T120">
        <v>50</v>
      </c>
      <c r="U120">
        <f t="shared" si="1"/>
        <v>39.5</v>
      </c>
      <c r="V120">
        <v>6</v>
      </c>
    </row>
    <row r="121" spans="15:22" x14ac:dyDescent="0.3">
      <c r="P121" t="s">
        <v>68</v>
      </c>
      <c r="Q121">
        <v>5000</v>
      </c>
      <c r="R121">
        <v>0.5</v>
      </c>
      <c r="S121">
        <v>10</v>
      </c>
      <c r="T121">
        <v>50</v>
      </c>
      <c r="U121">
        <f t="shared" si="1"/>
        <v>39.5</v>
      </c>
      <c r="V121">
        <v>6</v>
      </c>
    </row>
    <row r="122" spans="15:22" x14ac:dyDescent="0.3">
      <c r="P122" t="s">
        <v>59</v>
      </c>
      <c r="Q122">
        <v>5000</v>
      </c>
      <c r="R122">
        <v>0.5</v>
      </c>
      <c r="S122">
        <v>10</v>
      </c>
      <c r="T122">
        <v>50</v>
      </c>
      <c r="U122">
        <f t="shared" si="1"/>
        <v>39.5</v>
      </c>
      <c r="V122">
        <v>6</v>
      </c>
    </row>
    <row r="123" spans="15:22" x14ac:dyDescent="0.3">
      <c r="P123" t="s">
        <v>114</v>
      </c>
      <c r="Q123">
        <v>0</v>
      </c>
      <c r="R123">
        <v>0</v>
      </c>
      <c r="S123">
        <v>0</v>
      </c>
      <c r="T123">
        <v>0</v>
      </c>
      <c r="U123">
        <f t="shared" si="1"/>
        <v>100</v>
      </c>
      <c r="V123">
        <v>0</v>
      </c>
    </row>
    <row r="124" spans="15:22" x14ac:dyDescent="0.3">
      <c r="P124" t="s">
        <v>69</v>
      </c>
      <c r="Q124">
        <v>5000</v>
      </c>
      <c r="R124">
        <v>0.5</v>
      </c>
      <c r="S124">
        <v>10</v>
      </c>
      <c r="T124">
        <v>50</v>
      </c>
      <c r="U124">
        <f t="shared" si="1"/>
        <v>39.5</v>
      </c>
      <c r="V124">
        <v>6</v>
      </c>
    </row>
    <row r="125" spans="15:22" x14ac:dyDescent="0.3">
      <c r="P125" t="s">
        <v>70</v>
      </c>
      <c r="Q125">
        <v>5000</v>
      </c>
      <c r="R125">
        <v>0.5</v>
      </c>
      <c r="S125">
        <v>10</v>
      </c>
      <c r="T125">
        <v>50</v>
      </c>
      <c r="U125">
        <f t="shared" si="1"/>
        <v>39.5</v>
      </c>
      <c r="V125">
        <v>6</v>
      </c>
    </row>
    <row r="126" spans="15:22" x14ac:dyDescent="0.3">
      <c r="P126" t="s">
        <v>71</v>
      </c>
      <c r="Q126">
        <v>5000</v>
      </c>
      <c r="R126">
        <v>0.5</v>
      </c>
      <c r="S126">
        <v>10</v>
      </c>
      <c r="T126">
        <v>50</v>
      </c>
      <c r="U126">
        <f t="shared" si="1"/>
        <v>39.5</v>
      </c>
      <c r="V126">
        <v>6</v>
      </c>
    </row>
    <row r="127" spans="15:22" x14ac:dyDescent="0.3">
      <c r="P127" t="s">
        <v>72</v>
      </c>
      <c r="Q127">
        <v>5000</v>
      </c>
      <c r="R127">
        <v>0.5</v>
      </c>
      <c r="S127">
        <v>10</v>
      </c>
      <c r="T127">
        <v>50</v>
      </c>
      <c r="U127">
        <f t="shared" si="1"/>
        <v>39.5</v>
      </c>
      <c r="V127">
        <v>6</v>
      </c>
    </row>
    <row r="128" spans="15:22" x14ac:dyDescent="0.3">
      <c r="P128" t="s">
        <v>4</v>
      </c>
      <c r="Q128">
        <v>0</v>
      </c>
      <c r="R128">
        <v>0</v>
      </c>
      <c r="S128">
        <v>0</v>
      </c>
      <c r="T128">
        <v>0</v>
      </c>
      <c r="U128">
        <f t="shared" si="1"/>
        <v>100</v>
      </c>
      <c r="V128">
        <v>0</v>
      </c>
    </row>
    <row r="129" spans="15:22" x14ac:dyDescent="0.3">
      <c r="O129">
        <v>9</v>
      </c>
      <c r="P129" t="s">
        <v>60</v>
      </c>
      <c r="Q129">
        <v>1000</v>
      </c>
      <c r="R129">
        <v>30</v>
      </c>
      <c r="S129">
        <v>5</v>
      </c>
      <c r="T129">
        <v>20</v>
      </c>
      <c r="U129">
        <f t="shared" si="1"/>
        <v>45</v>
      </c>
      <c r="V129">
        <v>311</v>
      </c>
    </row>
    <row r="130" spans="15:22" x14ac:dyDescent="0.3">
      <c r="P130" t="s">
        <v>61</v>
      </c>
      <c r="Q130">
        <v>500</v>
      </c>
      <c r="R130">
        <v>30</v>
      </c>
      <c r="S130">
        <v>5</v>
      </c>
      <c r="T130">
        <v>20</v>
      </c>
      <c r="U130">
        <f t="shared" si="1"/>
        <v>45</v>
      </c>
      <c r="V130">
        <v>623</v>
      </c>
    </row>
    <row r="131" spans="15:22" x14ac:dyDescent="0.3">
      <c r="P131" t="s">
        <v>62</v>
      </c>
      <c r="Q131">
        <v>1000</v>
      </c>
      <c r="R131">
        <v>30</v>
      </c>
      <c r="S131">
        <v>5</v>
      </c>
      <c r="T131">
        <v>20</v>
      </c>
      <c r="U131">
        <f t="shared" si="1"/>
        <v>45</v>
      </c>
      <c r="V131">
        <v>311</v>
      </c>
    </row>
    <row r="132" spans="15:22" x14ac:dyDescent="0.3">
      <c r="P132" t="s">
        <v>63</v>
      </c>
      <c r="Q132">
        <v>1000</v>
      </c>
      <c r="R132">
        <v>30</v>
      </c>
      <c r="S132">
        <v>5</v>
      </c>
      <c r="T132">
        <v>20</v>
      </c>
      <c r="U132">
        <f t="shared" si="1"/>
        <v>45</v>
      </c>
      <c r="V132">
        <v>311</v>
      </c>
    </row>
    <row r="133" spans="15:22" x14ac:dyDescent="0.3">
      <c r="P133" t="s">
        <v>64</v>
      </c>
      <c r="Q133">
        <v>1000</v>
      </c>
      <c r="R133">
        <v>30</v>
      </c>
      <c r="S133">
        <v>5</v>
      </c>
      <c r="T133">
        <v>20</v>
      </c>
      <c r="U133">
        <f t="shared" si="1"/>
        <v>45</v>
      </c>
      <c r="V133">
        <v>311</v>
      </c>
    </row>
    <row r="134" spans="15:22" x14ac:dyDescent="0.3">
      <c r="P134" t="s">
        <v>65</v>
      </c>
      <c r="Q134">
        <v>500</v>
      </c>
      <c r="R134">
        <v>30</v>
      </c>
      <c r="S134">
        <v>5</v>
      </c>
      <c r="T134">
        <v>20</v>
      </c>
      <c r="U134">
        <f t="shared" si="1"/>
        <v>45</v>
      </c>
      <c r="V134">
        <v>623</v>
      </c>
    </row>
    <row r="135" spans="15:22" x14ac:dyDescent="0.3">
      <c r="P135" t="s">
        <v>66</v>
      </c>
      <c r="Q135">
        <v>1000</v>
      </c>
      <c r="R135">
        <v>30</v>
      </c>
      <c r="S135">
        <v>5</v>
      </c>
      <c r="T135">
        <v>20</v>
      </c>
      <c r="U135">
        <f t="shared" si="1"/>
        <v>45</v>
      </c>
      <c r="V135">
        <v>311</v>
      </c>
    </row>
    <row r="136" spans="15:22" x14ac:dyDescent="0.3">
      <c r="P136" t="s">
        <v>67</v>
      </c>
      <c r="Q136">
        <v>1000</v>
      </c>
      <c r="R136">
        <v>30</v>
      </c>
      <c r="S136">
        <v>5</v>
      </c>
      <c r="T136">
        <v>20</v>
      </c>
      <c r="U136">
        <f t="shared" si="1"/>
        <v>45</v>
      </c>
      <c r="V136">
        <v>311</v>
      </c>
    </row>
    <row r="137" spans="15:22" x14ac:dyDescent="0.3">
      <c r="P137" t="s">
        <v>68</v>
      </c>
      <c r="Q137">
        <v>1000</v>
      </c>
      <c r="R137">
        <v>30</v>
      </c>
      <c r="S137">
        <v>5</v>
      </c>
      <c r="T137">
        <v>20</v>
      </c>
      <c r="U137">
        <f t="shared" si="1"/>
        <v>45</v>
      </c>
      <c r="V137">
        <v>311</v>
      </c>
    </row>
    <row r="138" spans="15:22" x14ac:dyDescent="0.3">
      <c r="P138" t="s">
        <v>59</v>
      </c>
      <c r="Q138">
        <v>1000</v>
      </c>
      <c r="R138">
        <v>30</v>
      </c>
      <c r="S138">
        <v>5</v>
      </c>
      <c r="T138">
        <v>20</v>
      </c>
      <c r="U138">
        <f t="shared" si="1"/>
        <v>45</v>
      </c>
      <c r="V138">
        <v>311</v>
      </c>
    </row>
    <row r="139" spans="15:22" x14ac:dyDescent="0.3">
      <c r="P139" t="s">
        <v>114</v>
      </c>
      <c r="Q139">
        <v>0</v>
      </c>
      <c r="R139">
        <v>0</v>
      </c>
      <c r="S139">
        <v>0</v>
      </c>
      <c r="T139">
        <v>0</v>
      </c>
      <c r="U139">
        <f t="shared" si="1"/>
        <v>100</v>
      </c>
      <c r="V139">
        <v>0</v>
      </c>
    </row>
    <row r="140" spans="15:22" x14ac:dyDescent="0.3">
      <c r="P140" t="s">
        <v>69</v>
      </c>
      <c r="Q140">
        <v>1000</v>
      </c>
      <c r="R140">
        <v>30</v>
      </c>
      <c r="S140">
        <v>5</v>
      </c>
      <c r="T140">
        <v>20</v>
      </c>
      <c r="U140">
        <f t="shared" si="1"/>
        <v>45</v>
      </c>
      <c r="V140">
        <v>311</v>
      </c>
    </row>
    <row r="141" spans="15:22" x14ac:dyDescent="0.3">
      <c r="P141" t="s">
        <v>70</v>
      </c>
      <c r="Q141">
        <v>1000</v>
      </c>
      <c r="R141">
        <v>30</v>
      </c>
      <c r="S141">
        <v>5</v>
      </c>
      <c r="T141">
        <v>20</v>
      </c>
      <c r="U141">
        <f t="shared" si="1"/>
        <v>45</v>
      </c>
      <c r="V141">
        <v>311</v>
      </c>
    </row>
    <row r="142" spans="15:22" x14ac:dyDescent="0.3">
      <c r="P142" t="s">
        <v>71</v>
      </c>
      <c r="Q142">
        <v>1000</v>
      </c>
      <c r="R142">
        <v>30</v>
      </c>
      <c r="S142">
        <v>5</v>
      </c>
      <c r="T142">
        <v>20</v>
      </c>
      <c r="U142">
        <f t="shared" si="1"/>
        <v>45</v>
      </c>
      <c r="V142">
        <v>311</v>
      </c>
    </row>
    <row r="143" spans="15:22" x14ac:dyDescent="0.3">
      <c r="P143" t="s">
        <v>72</v>
      </c>
      <c r="Q143">
        <v>1000</v>
      </c>
      <c r="R143">
        <v>30</v>
      </c>
      <c r="S143">
        <v>5</v>
      </c>
      <c r="T143">
        <v>20</v>
      </c>
      <c r="U143">
        <f t="shared" si="1"/>
        <v>45</v>
      </c>
      <c r="V143">
        <v>311</v>
      </c>
    </row>
    <row r="144" spans="15:22" x14ac:dyDescent="0.3">
      <c r="P144" t="s">
        <v>4</v>
      </c>
      <c r="Q144">
        <v>0</v>
      </c>
      <c r="R144">
        <v>0</v>
      </c>
      <c r="S144">
        <v>0</v>
      </c>
      <c r="T144">
        <v>0</v>
      </c>
      <c r="U144">
        <f t="shared" si="1"/>
        <v>100</v>
      </c>
      <c r="V144">
        <v>0</v>
      </c>
    </row>
    <row r="145" spans="15:22" x14ac:dyDescent="0.3">
      <c r="O145">
        <v>10</v>
      </c>
      <c r="P145" s="16">
        <v>800</v>
      </c>
      <c r="Q145">
        <v>300</v>
      </c>
      <c r="R145">
        <v>90</v>
      </c>
      <c r="S145">
        <v>10</v>
      </c>
      <c r="T145">
        <v>0</v>
      </c>
      <c r="U145">
        <f t="shared" si="1"/>
        <v>0</v>
      </c>
      <c r="V145">
        <v>3033</v>
      </c>
    </row>
    <row r="146" spans="15:22" x14ac:dyDescent="0.3">
      <c r="P146" s="16">
        <v>400</v>
      </c>
      <c r="Q146">
        <v>500</v>
      </c>
      <c r="R146">
        <v>90</v>
      </c>
      <c r="S146">
        <v>10</v>
      </c>
      <c r="T146">
        <v>0</v>
      </c>
      <c r="U146">
        <f t="shared" si="1"/>
        <v>0</v>
      </c>
      <c r="V146">
        <v>1820</v>
      </c>
    </row>
    <row r="147" spans="15:22" x14ac:dyDescent="0.3">
      <c r="P147" s="16">
        <v>200</v>
      </c>
      <c r="Q147">
        <v>1000</v>
      </c>
      <c r="R147">
        <v>90</v>
      </c>
      <c r="S147">
        <v>10</v>
      </c>
      <c r="T147">
        <v>0</v>
      </c>
      <c r="U147">
        <f t="shared" si="1"/>
        <v>0</v>
      </c>
      <c r="V147">
        <v>910</v>
      </c>
    </row>
    <row r="148" spans="15:22" x14ac:dyDescent="0.3">
      <c r="P148" s="16">
        <v>150</v>
      </c>
      <c r="Q148">
        <v>1000</v>
      </c>
      <c r="R148">
        <v>90</v>
      </c>
      <c r="S148">
        <v>10</v>
      </c>
      <c r="T148">
        <v>0</v>
      </c>
      <c r="U148">
        <f t="shared" si="1"/>
        <v>0</v>
      </c>
      <c r="V148">
        <v>910</v>
      </c>
    </row>
    <row r="149" spans="15:22" x14ac:dyDescent="0.3">
      <c r="P149" s="16">
        <v>100</v>
      </c>
      <c r="Q149">
        <v>2000</v>
      </c>
      <c r="R149">
        <v>90</v>
      </c>
      <c r="S149">
        <v>10</v>
      </c>
      <c r="T149">
        <v>0</v>
      </c>
      <c r="U149">
        <f t="shared" si="1"/>
        <v>0</v>
      </c>
      <c r="V149">
        <v>455</v>
      </c>
    </row>
    <row r="150" spans="15:22" x14ac:dyDescent="0.3">
      <c r="P150" s="16">
        <v>50</v>
      </c>
      <c r="Q150">
        <v>5000</v>
      </c>
      <c r="R150">
        <v>90</v>
      </c>
      <c r="S150">
        <v>10</v>
      </c>
      <c r="T150">
        <v>0</v>
      </c>
      <c r="U150">
        <f t="shared" si="1"/>
        <v>0</v>
      </c>
      <c r="V150">
        <v>182</v>
      </c>
    </row>
    <row r="151" spans="15:22" x14ac:dyDescent="0.3">
      <c r="P151" s="16">
        <v>25</v>
      </c>
      <c r="Q151">
        <v>5000</v>
      </c>
      <c r="R151">
        <v>90</v>
      </c>
      <c r="S151">
        <v>10</v>
      </c>
      <c r="T151">
        <v>0</v>
      </c>
      <c r="U151">
        <f t="shared" si="1"/>
        <v>0</v>
      </c>
      <c r="V151">
        <v>182</v>
      </c>
    </row>
    <row r="152" spans="15:22" x14ac:dyDescent="0.3">
      <c r="P152" t="s">
        <v>336</v>
      </c>
      <c r="Q152">
        <v>5000</v>
      </c>
      <c r="R152">
        <v>90</v>
      </c>
      <c r="S152">
        <v>10</v>
      </c>
      <c r="T152">
        <v>0</v>
      </c>
      <c r="U152">
        <f t="shared" si="1"/>
        <v>0</v>
      </c>
      <c r="V152">
        <v>182</v>
      </c>
    </row>
    <row r="153" spans="15:22" x14ac:dyDescent="0.3">
      <c r="O153">
        <v>11</v>
      </c>
      <c r="P153" t="s">
        <v>60</v>
      </c>
      <c r="Q153">
        <v>1000</v>
      </c>
      <c r="R153">
        <v>0</v>
      </c>
      <c r="S153">
        <v>1</v>
      </c>
      <c r="T153">
        <v>10</v>
      </c>
      <c r="U153">
        <f>100-(R153+S153+T153)</f>
        <v>89</v>
      </c>
      <c r="V153">
        <v>5</v>
      </c>
    </row>
    <row r="154" spans="15:22" x14ac:dyDescent="0.3">
      <c r="P154" t="s">
        <v>61</v>
      </c>
      <c r="Q154">
        <v>300</v>
      </c>
      <c r="R154">
        <v>0</v>
      </c>
      <c r="S154">
        <v>1</v>
      </c>
      <c r="T154">
        <v>10</v>
      </c>
      <c r="U154">
        <f t="shared" ref="U154:U217" si="2">100-(R154+S154+T154)</f>
        <v>89</v>
      </c>
      <c r="V154">
        <v>16</v>
      </c>
    </row>
    <row r="155" spans="15:22" x14ac:dyDescent="0.3">
      <c r="P155" t="s">
        <v>62</v>
      </c>
      <c r="Q155">
        <v>2000</v>
      </c>
      <c r="R155">
        <v>0</v>
      </c>
      <c r="S155">
        <v>1</v>
      </c>
      <c r="T155">
        <v>10</v>
      </c>
      <c r="U155">
        <f t="shared" si="2"/>
        <v>89</v>
      </c>
      <c r="V155">
        <v>2</v>
      </c>
    </row>
    <row r="156" spans="15:22" x14ac:dyDescent="0.3">
      <c r="P156" t="s">
        <v>63</v>
      </c>
      <c r="Q156">
        <v>1000</v>
      </c>
      <c r="R156">
        <v>0</v>
      </c>
      <c r="S156">
        <v>1</v>
      </c>
      <c r="T156">
        <v>10</v>
      </c>
      <c r="U156">
        <f t="shared" si="2"/>
        <v>89</v>
      </c>
      <c r="V156">
        <v>5</v>
      </c>
    </row>
    <row r="157" spans="15:22" x14ac:dyDescent="0.3">
      <c r="P157" t="s">
        <v>64</v>
      </c>
      <c r="Q157">
        <v>1000</v>
      </c>
      <c r="R157">
        <v>0</v>
      </c>
      <c r="S157">
        <v>1</v>
      </c>
      <c r="T157">
        <v>10</v>
      </c>
      <c r="U157">
        <f t="shared" si="2"/>
        <v>89</v>
      </c>
      <c r="V157">
        <v>5</v>
      </c>
    </row>
    <row r="158" spans="15:22" x14ac:dyDescent="0.3">
      <c r="P158" t="s">
        <v>65</v>
      </c>
      <c r="Q158">
        <v>1000</v>
      </c>
      <c r="R158">
        <v>0</v>
      </c>
      <c r="S158">
        <v>1</v>
      </c>
      <c r="T158">
        <v>10</v>
      </c>
      <c r="U158">
        <f t="shared" si="2"/>
        <v>89</v>
      </c>
      <c r="V158">
        <v>5</v>
      </c>
    </row>
    <row r="159" spans="15:22" x14ac:dyDescent="0.3">
      <c r="P159" t="s">
        <v>66</v>
      </c>
      <c r="Q159">
        <v>500</v>
      </c>
      <c r="R159">
        <v>0</v>
      </c>
      <c r="S159">
        <v>1</v>
      </c>
      <c r="T159">
        <v>10</v>
      </c>
      <c r="U159">
        <f t="shared" si="2"/>
        <v>89</v>
      </c>
      <c r="V159">
        <v>10</v>
      </c>
    </row>
    <row r="160" spans="15:22" x14ac:dyDescent="0.3">
      <c r="P160" t="s">
        <v>67</v>
      </c>
      <c r="Q160">
        <v>1000</v>
      </c>
      <c r="R160">
        <v>0</v>
      </c>
      <c r="S160">
        <v>1</v>
      </c>
      <c r="T160">
        <v>10</v>
      </c>
      <c r="U160">
        <f t="shared" si="2"/>
        <v>89</v>
      </c>
      <c r="V160">
        <v>5</v>
      </c>
    </row>
    <row r="161" spans="15:22" x14ac:dyDescent="0.3">
      <c r="P161" t="s">
        <v>68</v>
      </c>
      <c r="Q161">
        <v>1000</v>
      </c>
      <c r="R161">
        <v>0</v>
      </c>
      <c r="S161">
        <v>1</v>
      </c>
      <c r="T161">
        <v>10</v>
      </c>
      <c r="U161">
        <f t="shared" si="2"/>
        <v>89</v>
      </c>
      <c r="V161">
        <v>5</v>
      </c>
    </row>
    <row r="162" spans="15:22" x14ac:dyDescent="0.3">
      <c r="P162" t="s">
        <v>59</v>
      </c>
      <c r="Q162">
        <v>1000</v>
      </c>
      <c r="R162">
        <v>0</v>
      </c>
      <c r="S162">
        <v>1</v>
      </c>
      <c r="T162">
        <v>10</v>
      </c>
      <c r="U162">
        <f t="shared" si="2"/>
        <v>89</v>
      </c>
      <c r="V162">
        <v>5</v>
      </c>
    </row>
    <row r="163" spans="15:22" x14ac:dyDescent="0.3">
      <c r="P163" t="s">
        <v>114</v>
      </c>
      <c r="Q163">
        <v>0</v>
      </c>
      <c r="R163">
        <v>0</v>
      </c>
      <c r="S163">
        <v>0</v>
      </c>
      <c r="T163">
        <v>0</v>
      </c>
      <c r="U163">
        <f t="shared" si="2"/>
        <v>100</v>
      </c>
      <c r="V163">
        <v>0</v>
      </c>
    </row>
    <row r="164" spans="15:22" x14ac:dyDescent="0.3">
      <c r="P164" t="s">
        <v>69</v>
      </c>
      <c r="Q164">
        <v>1000</v>
      </c>
      <c r="R164">
        <v>0</v>
      </c>
      <c r="S164">
        <v>1</v>
      </c>
      <c r="T164">
        <v>10</v>
      </c>
      <c r="U164">
        <f t="shared" si="2"/>
        <v>89</v>
      </c>
      <c r="V164">
        <v>5</v>
      </c>
    </row>
    <row r="165" spans="15:22" x14ac:dyDescent="0.3">
      <c r="P165" t="s">
        <v>70</v>
      </c>
      <c r="Q165">
        <v>1000</v>
      </c>
      <c r="R165">
        <v>0</v>
      </c>
      <c r="S165">
        <v>1</v>
      </c>
      <c r="T165">
        <v>10</v>
      </c>
      <c r="U165">
        <f t="shared" si="2"/>
        <v>89</v>
      </c>
      <c r="V165">
        <v>5</v>
      </c>
    </row>
    <row r="166" spans="15:22" x14ac:dyDescent="0.3">
      <c r="P166" t="s">
        <v>71</v>
      </c>
      <c r="Q166">
        <v>1000</v>
      </c>
      <c r="R166">
        <v>0</v>
      </c>
      <c r="S166">
        <v>1</v>
      </c>
      <c r="T166">
        <v>10</v>
      </c>
      <c r="U166">
        <f t="shared" si="2"/>
        <v>89</v>
      </c>
      <c r="V166">
        <v>5</v>
      </c>
    </row>
    <row r="167" spans="15:22" x14ac:dyDescent="0.3">
      <c r="P167" t="s">
        <v>72</v>
      </c>
      <c r="Q167">
        <v>1000</v>
      </c>
      <c r="R167">
        <v>0</v>
      </c>
      <c r="S167">
        <v>1</v>
      </c>
      <c r="T167">
        <v>10</v>
      </c>
      <c r="U167">
        <f t="shared" si="2"/>
        <v>89</v>
      </c>
      <c r="V167">
        <v>5</v>
      </c>
    </row>
    <row r="168" spans="15:22" x14ac:dyDescent="0.3">
      <c r="P168" t="s">
        <v>4</v>
      </c>
      <c r="Q168">
        <v>0</v>
      </c>
      <c r="R168">
        <v>0</v>
      </c>
      <c r="S168">
        <v>0</v>
      </c>
      <c r="T168">
        <v>0</v>
      </c>
      <c r="U168">
        <f t="shared" si="2"/>
        <v>100</v>
      </c>
      <c r="V168">
        <v>0</v>
      </c>
    </row>
    <row r="169" spans="15:22" x14ac:dyDescent="0.3">
      <c r="O169">
        <v>12</v>
      </c>
      <c r="P169" t="s">
        <v>60</v>
      </c>
      <c r="Q169">
        <v>5000</v>
      </c>
      <c r="R169">
        <v>0</v>
      </c>
      <c r="S169">
        <v>1</v>
      </c>
      <c r="T169">
        <v>10</v>
      </c>
      <c r="U169">
        <f t="shared" si="2"/>
        <v>89</v>
      </c>
      <c r="V169">
        <v>1</v>
      </c>
    </row>
    <row r="170" spans="15:22" x14ac:dyDescent="0.3">
      <c r="P170" t="s">
        <v>61</v>
      </c>
      <c r="Q170">
        <v>5000</v>
      </c>
      <c r="R170">
        <v>0</v>
      </c>
      <c r="S170">
        <v>1</v>
      </c>
      <c r="T170">
        <v>10</v>
      </c>
      <c r="U170">
        <f t="shared" si="2"/>
        <v>89</v>
      </c>
      <c r="V170">
        <v>1</v>
      </c>
    </row>
    <row r="171" spans="15:22" x14ac:dyDescent="0.3">
      <c r="P171" t="s">
        <v>62</v>
      </c>
      <c r="Q171">
        <v>5000</v>
      </c>
      <c r="R171">
        <v>0</v>
      </c>
      <c r="S171">
        <v>1</v>
      </c>
      <c r="T171">
        <v>10</v>
      </c>
      <c r="U171">
        <f t="shared" si="2"/>
        <v>89</v>
      </c>
      <c r="V171">
        <v>1</v>
      </c>
    </row>
    <row r="172" spans="15:22" x14ac:dyDescent="0.3">
      <c r="P172" t="s">
        <v>63</v>
      </c>
      <c r="Q172">
        <v>5000</v>
      </c>
      <c r="R172">
        <v>0</v>
      </c>
      <c r="S172">
        <v>1</v>
      </c>
      <c r="T172">
        <v>10</v>
      </c>
      <c r="U172">
        <f t="shared" si="2"/>
        <v>89</v>
      </c>
      <c r="V172">
        <v>1</v>
      </c>
    </row>
    <row r="173" spans="15:22" x14ac:dyDescent="0.3">
      <c r="P173" t="s">
        <v>64</v>
      </c>
      <c r="Q173">
        <v>5000</v>
      </c>
      <c r="R173">
        <v>0</v>
      </c>
      <c r="S173">
        <v>1</v>
      </c>
      <c r="T173">
        <v>10</v>
      </c>
      <c r="U173">
        <f t="shared" si="2"/>
        <v>89</v>
      </c>
      <c r="V173">
        <v>1</v>
      </c>
    </row>
    <row r="174" spans="15:22" x14ac:dyDescent="0.3">
      <c r="P174" t="s">
        <v>65</v>
      </c>
      <c r="Q174">
        <v>5000</v>
      </c>
      <c r="R174">
        <v>0</v>
      </c>
      <c r="S174">
        <v>1</v>
      </c>
      <c r="T174">
        <v>10</v>
      </c>
      <c r="U174">
        <f t="shared" si="2"/>
        <v>89</v>
      </c>
      <c r="V174">
        <v>1</v>
      </c>
    </row>
    <row r="175" spans="15:22" x14ac:dyDescent="0.3">
      <c r="P175" t="s">
        <v>66</v>
      </c>
      <c r="Q175">
        <v>5000</v>
      </c>
      <c r="R175">
        <v>0</v>
      </c>
      <c r="S175">
        <v>1</v>
      </c>
      <c r="T175">
        <v>10</v>
      </c>
      <c r="U175">
        <f t="shared" si="2"/>
        <v>89</v>
      </c>
      <c r="V175">
        <v>1</v>
      </c>
    </row>
    <row r="176" spans="15:22" x14ac:dyDescent="0.3">
      <c r="P176" t="s">
        <v>67</v>
      </c>
      <c r="Q176">
        <v>5000</v>
      </c>
      <c r="R176">
        <v>0</v>
      </c>
      <c r="S176">
        <v>1</v>
      </c>
      <c r="T176">
        <v>10</v>
      </c>
      <c r="U176">
        <f t="shared" si="2"/>
        <v>89</v>
      </c>
      <c r="V176">
        <v>1</v>
      </c>
    </row>
    <row r="177" spans="15:22" x14ac:dyDescent="0.3">
      <c r="P177" t="s">
        <v>68</v>
      </c>
      <c r="Q177">
        <v>5000</v>
      </c>
      <c r="R177">
        <v>0</v>
      </c>
      <c r="S177">
        <v>1</v>
      </c>
      <c r="T177">
        <v>10</v>
      </c>
      <c r="U177">
        <f t="shared" si="2"/>
        <v>89</v>
      </c>
      <c r="V177">
        <v>1</v>
      </c>
    </row>
    <row r="178" spans="15:22" x14ac:dyDescent="0.3">
      <c r="P178" t="s">
        <v>59</v>
      </c>
      <c r="Q178">
        <v>5000</v>
      </c>
      <c r="R178">
        <v>0</v>
      </c>
      <c r="S178">
        <v>1</v>
      </c>
      <c r="T178">
        <v>10</v>
      </c>
      <c r="U178">
        <f t="shared" si="2"/>
        <v>89</v>
      </c>
      <c r="V178">
        <v>1</v>
      </c>
    </row>
    <row r="179" spans="15:22" x14ac:dyDescent="0.3">
      <c r="P179" t="s">
        <v>114</v>
      </c>
      <c r="Q179">
        <v>0</v>
      </c>
      <c r="R179">
        <v>0</v>
      </c>
      <c r="S179">
        <v>0</v>
      </c>
      <c r="T179">
        <v>0</v>
      </c>
      <c r="U179">
        <f t="shared" si="2"/>
        <v>100</v>
      </c>
      <c r="V179">
        <v>0</v>
      </c>
    </row>
    <row r="180" spans="15:22" x14ac:dyDescent="0.3">
      <c r="P180" t="s">
        <v>69</v>
      </c>
      <c r="Q180">
        <v>5000</v>
      </c>
      <c r="R180">
        <v>0</v>
      </c>
      <c r="S180">
        <v>1</v>
      </c>
      <c r="T180">
        <v>10</v>
      </c>
      <c r="U180">
        <f t="shared" si="2"/>
        <v>89</v>
      </c>
      <c r="V180">
        <v>1</v>
      </c>
    </row>
    <row r="181" spans="15:22" x14ac:dyDescent="0.3">
      <c r="P181" t="s">
        <v>70</v>
      </c>
      <c r="Q181">
        <v>5000</v>
      </c>
      <c r="R181">
        <v>0</v>
      </c>
      <c r="S181">
        <v>1</v>
      </c>
      <c r="T181">
        <v>10</v>
      </c>
      <c r="U181">
        <f t="shared" si="2"/>
        <v>89</v>
      </c>
      <c r="V181">
        <v>1</v>
      </c>
    </row>
    <row r="182" spans="15:22" x14ac:dyDescent="0.3">
      <c r="P182" t="s">
        <v>71</v>
      </c>
      <c r="Q182">
        <v>5000</v>
      </c>
      <c r="R182">
        <v>0</v>
      </c>
      <c r="S182">
        <v>1</v>
      </c>
      <c r="T182">
        <v>10</v>
      </c>
      <c r="U182">
        <f t="shared" si="2"/>
        <v>89</v>
      </c>
      <c r="V182">
        <v>1</v>
      </c>
    </row>
    <row r="183" spans="15:22" x14ac:dyDescent="0.3">
      <c r="P183" t="s">
        <v>72</v>
      </c>
      <c r="Q183">
        <v>5000</v>
      </c>
      <c r="R183">
        <v>0</v>
      </c>
      <c r="S183">
        <v>1</v>
      </c>
      <c r="T183">
        <v>10</v>
      </c>
      <c r="U183">
        <f t="shared" si="2"/>
        <v>89</v>
      </c>
      <c r="V183">
        <v>1</v>
      </c>
    </row>
    <row r="184" spans="15:22" x14ac:dyDescent="0.3">
      <c r="P184" t="s">
        <v>4</v>
      </c>
      <c r="Q184">
        <v>0</v>
      </c>
      <c r="R184">
        <v>0</v>
      </c>
      <c r="S184">
        <v>0</v>
      </c>
      <c r="T184">
        <v>0</v>
      </c>
      <c r="U184">
        <f t="shared" si="2"/>
        <v>100</v>
      </c>
      <c r="V184">
        <v>0</v>
      </c>
    </row>
    <row r="185" spans="15:22" x14ac:dyDescent="0.3">
      <c r="O185">
        <v>13</v>
      </c>
      <c r="P185" t="s">
        <v>60</v>
      </c>
      <c r="Q185">
        <v>2000</v>
      </c>
      <c r="R185">
        <v>0</v>
      </c>
      <c r="S185">
        <v>0</v>
      </c>
      <c r="T185">
        <v>5</v>
      </c>
      <c r="U185">
        <f t="shared" si="2"/>
        <v>95</v>
      </c>
      <c r="V185">
        <v>1</v>
      </c>
    </row>
    <row r="186" spans="15:22" x14ac:dyDescent="0.3">
      <c r="P186" t="s">
        <v>61</v>
      </c>
      <c r="Q186">
        <v>2000</v>
      </c>
      <c r="R186">
        <v>0</v>
      </c>
      <c r="S186">
        <v>0</v>
      </c>
      <c r="T186">
        <v>2</v>
      </c>
      <c r="U186">
        <f t="shared" si="2"/>
        <v>98</v>
      </c>
      <c r="V186">
        <v>1</v>
      </c>
    </row>
    <row r="187" spans="15:22" x14ac:dyDescent="0.3">
      <c r="P187" t="s">
        <v>62</v>
      </c>
      <c r="Q187">
        <v>1000</v>
      </c>
      <c r="R187">
        <v>0</v>
      </c>
      <c r="S187">
        <v>0</v>
      </c>
      <c r="T187">
        <v>2</v>
      </c>
      <c r="U187">
        <f t="shared" si="2"/>
        <v>98</v>
      </c>
      <c r="V187">
        <v>2</v>
      </c>
    </row>
    <row r="188" spans="15:22" x14ac:dyDescent="0.3">
      <c r="P188" t="s">
        <v>63</v>
      </c>
      <c r="Q188">
        <v>5000</v>
      </c>
      <c r="R188">
        <v>0.1</v>
      </c>
      <c r="S188">
        <v>0.1</v>
      </c>
      <c r="T188">
        <v>5</v>
      </c>
      <c r="U188">
        <f t="shared" si="2"/>
        <v>94.8</v>
      </c>
      <c r="V188">
        <v>1</v>
      </c>
    </row>
    <row r="189" spans="15:22" x14ac:dyDescent="0.3">
      <c r="P189" t="s">
        <v>64</v>
      </c>
      <c r="Q189">
        <v>2000</v>
      </c>
      <c r="R189">
        <v>0</v>
      </c>
      <c r="S189">
        <v>0.1</v>
      </c>
      <c r="T189">
        <v>5</v>
      </c>
      <c r="U189">
        <f t="shared" si="2"/>
        <v>94.9</v>
      </c>
      <c r="V189">
        <v>1</v>
      </c>
    </row>
    <row r="190" spans="15:22" x14ac:dyDescent="0.3">
      <c r="P190" t="s">
        <v>65</v>
      </c>
      <c r="Q190">
        <v>2000</v>
      </c>
      <c r="R190">
        <v>0</v>
      </c>
      <c r="S190">
        <v>0.1</v>
      </c>
      <c r="T190">
        <v>5</v>
      </c>
      <c r="U190">
        <f t="shared" si="2"/>
        <v>94.9</v>
      </c>
      <c r="V190">
        <v>1</v>
      </c>
    </row>
    <row r="191" spans="15:22" x14ac:dyDescent="0.3">
      <c r="P191" t="s">
        <v>66</v>
      </c>
      <c r="Q191">
        <v>2000</v>
      </c>
      <c r="R191">
        <v>0</v>
      </c>
      <c r="S191">
        <v>0.1</v>
      </c>
      <c r="T191">
        <v>2</v>
      </c>
      <c r="U191">
        <f t="shared" si="2"/>
        <v>97.9</v>
      </c>
      <c r="V191">
        <v>1</v>
      </c>
    </row>
    <row r="192" spans="15:22" x14ac:dyDescent="0.3">
      <c r="P192" t="s">
        <v>67</v>
      </c>
      <c r="Q192">
        <v>1000</v>
      </c>
      <c r="R192">
        <v>0</v>
      </c>
      <c r="S192">
        <v>0</v>
      </c>
      <c r="T192">
        <v>2</v>
      </c>
      <c r="U192">
        <f t="shared" si="2"/>
        <v>98</v>
      </c>
      <c r="V192">
        <v>2</v>
      </c>
    </row>
    <row r="193" spans="15:22" x14ac:dyDescent="0.3">
      <c r="P193" t="s">
        <v>68</v>
      </c>
      <c r="Q193">
        <v>5000</v>
      </c>
      <c r="R193">
        <v>0.1</v>
      </c>
      <c r="S193">
        <v>0.2</v>
      </c>
      <c r="T193">
        <v>5</v>
      </c>
      <c r="U193">
        <f t="shared" si="2"/>
        <v>94.7</v>
      </c>
      <c r="V193">
        <v>1</v>
      </c>
    </row>
    <row r="194" spans="15:22" x14ac:dyDescent="0.3">
      <c r="P194" t="s">
        <v>59</v>
      </c>
      <c r="Q194">
        <v>2000</v>
      </c>
      <c r="R194">
        <v>0</v>
      </c>
      <c r="S194">
        <v>0.1</v>
      </c>
      <c r="T194">
        <v>5</v>
      </c>
      <c r="U194">
        <f t="shared" si="2"/>
        <v>94.9</v>
      </c>
      <c r="V194">
        <v>1</v>
      </c>
    </row>
    <row r="195" spans="15:22" x14ac:dyDescent="0.3">
      <c r="P195" t="s">
        <v>114</v>
      </c>
      <c r="Q195">
        <v>0</v>
      </c>
      <c r="R195">
        <v>0</v>
      </c>
      <c r="S195">
        <v>0</v>
      </c>
      <c r="T195">
        <v>0</v>
      </c>
      <c r="U195">
        <f t="shared" si="2"/>
        <v>100</v>
      </c>
      <c r="V195">
        <v>0</v>
      </c>
    </row>
    <row r="196" spans="15:22" x14ac:dyDescent="0.3">
      <c r="P196" t="s">
        <v>69</v>
      </c>
      <c r="Q196">
        <v>2000</v>
      </c>
      <c r="R196">
        <v>0</v>
      </c>
      <c r="S196">
        <v>0.1</v>
      </c>
      <c r="T196">
        <v>5</v>
      </c>
      <c r="U196">
        <f t="shared" si="2"/>
        <v>94.9</v>
      </c>
      <c r="V196">
        <v>1</v>
      </c>
    </row>
    <row r="197" spans="15:22" x14ac:dyDescent="0.3">
      <c r="P197" t="s">
        <v>70</v>
      </c>
      <c r="Q197">
        <v>2000</v>
      </c>
      <c r="R197">
        <v>0</v>
      </c>
      <c r="S197">
        <v>0.1</v>
      </c>
      <c r="T197">
        <v>2</v>
      </c>
      <c r="U197">
        <f t="shared" si="2"/>
        <v>97.9</v>
      </c>
      <c r="V197">
        <v>1</v>
      </c>
    </row>
    <row r="198" spans="15:22" x14ac:dyDescent="0.3">
      <c r="P198" t="s">
        <v>71</v>
      </c>
      <c r="Q198">
        <v>1000</v>
      </c>
      <c r="R198">
        <v>0</v>
      </c>
      <c r="S198">
        <v>0</v>
      </c>
      <c r="T198">
        <v>2</v>
      </c>
      <c r="U198">
        <f t="shared" si="2"/>
        <v>98</v>
      </c>
      <c r="V198">
        <v>2</v>
      </c>
    </row>
    <row r="199" spans="15:22" x14ac:dyDescent="0.3">
      <c r="P199" t="s">
        <v>72</v>
      </c>
      <c r="Q199">
        <v>5000</v>
      </c>
      <c r="R199">
        <v>0.1</v>
      </c>
      <c r="S199">
        <v>0.2</v>
      </c>
      <c r="T199">
        <v>5</v>
      </c>
      <c r="U199">
        <f t="shared" si="2"/>
        <v>94.7</v>
      </c>
      <c r="V199">
        <v>1</v>
      </c>
    </row>
    <row r="200" spans="15:22" x14ac:dyDescent="0.3">
      <c r="P200" t="s">
        <v>4</v>
      </c>
      <c r="Q200">
        <v>0</v>
      </c>
      <c r="R200">
        <v>0</v>
      </c>
      <c r="S200">
        <v>0</v>
      </c>
      <c r="T200">
        <v>0</v>
      </c>
      <c r="U200">
        <f t="shared" si="2"/>
        <v>100</v>
      </c>
      <c r="V200">
        <v>0</v>
      </c>
    </row>
    <row r="201" spans="15:22" x14ac:dyDescent="0.3">
      <c r="O201">
        <v>14</v>
      </c>
      <c r="P201" t="s">
        <v>60</v>
      </c>
      <c r="Q201">
        <v>0</v>
      </c>
      <c r="R201">
        <v>30</v>
      </c>
      <c r="S201">
        <v>10</v>
      </c>
      <c r="T201">
        <v>30</v>
      </c>
      <c r="U201">
        <f t="shared" si="2"/>
        <v>30</v>
      </c>
      <c r="V201">
        <v>0</v>
      </c>
    </row>
    <row r="202" spans="15:22" x14ac:dyDescent="0.3">
      <c r="P202" t="s">
        <v>61</v>
      </c>
      <c r="Q202">
        <v>0</v>
      </c>
      <c r="R202">
        <v>30</v>
      </c>
      <c r="S202">
        <v>10</v>
      </c>
      <c r="T202">
        <v>30</v>
      </c>
      <c r="U202">
        <f t="shared" si="2"/>
        <v>30</v>
      </c>
      <c r="V202">
        <v>0</v>
      </c>
    </row>
    <row r="203" spans="15:22" x14ac:dyDescent="0.3">
      <c r="P203" t="s">
        <v>62</v>
      </c>
      <c r="Q203">
        <v>0</v>
      </c>
      <c r="R203">
        <v>30</v>
      </c>
      <c r="S203">
        <v>10</v>
      </c>
      <c r="T203">
        <v>30</v>
      </c>
      <c r="U203">
        <f t="shared" si="2"/>
        <v>30</v>
      </c>
      <c r="V203">
        <v>0</v>
      </c>
    </row>
    <row r="204" spans="15:22" x14ac:dyDescent="0.3">
      <c r="P204" t="s">
        <v>63</v>
      </c>
      <c r="Q204">
        <v>0</v>
      </c>
      <c r="R204">
        <v>30</v>
      </c>
      <c r="S204">
        <v>10</v>
      </c>
      <c r="T204">
        <v>30</v>
      </c>
      <c r="U204">
        <f t="shared" si="2"/>
        <v>30</v>
      </c>
      <c r="V204">
        <v>0</v>
      </c>
    </row>
    <row r="205" spans="15:22" x14ac:dyDescent="0.3">
      <c r="P205" t="s">
        <v>64</v>
      </c>
      <c r="Q205">
        <v>5000</v>
      </c>
      <c r="R205">
        <v>30</v>
      </c>
      <c r="S205">
        <v>10</v>
      </c>
      <c r="T205">
        <v>30</v>
      </c>
      <c r="U205">
        <f t="shared" si="2"/>
        <v>30</v>
      </c>
      <c r="V205">
        <v>64</v>
      </c>
    </row>
    <row r="206" spans="15:22" x14ac:dyDescent="0.3">
      <c r="P206" t="s">
        <v>65</v>
      </c>
      <c r="Q206">
        <v>5000</v>
      </c>
      <c r="R206">
        <v>30</v>
      </c>
      <c r="S206">
        <v>10</v>
      </c>
      <c r="T206">
        <v>30</v>
      </c>
      <c r="U206">
        <f t="shared" si="2"/>
        <v>30</v>
      </c>
      <c r="V206">
        <v>64</v>
      </c>
    </row>
    <row r="207" spans="15:22" x14ac:dyDescent="0.3">
      <c r="P207" t="s">
        <v>66</v>
      </c>
      <c r="Q207">
        <v>5000</v>
      </c>
      <c r="R207">
        <v>30</v>
      </c>
      <c r="S207">
        <v>10</v>
      </c>
      <c r="T207">
        <v>30</v>
      </c>
      <c r="U207">
        <f t="shared" si="2"/>
        <v>30</v>
      </c>
      <c r="V207">
        <v>64</v>
      </c>
    </row>
    <row r="208" spans="15:22" x14ac:dyDescent="0.3">
      <c r="P208" t="s">
        <v>67</v>
      </c>
      <c r="Q208">
        <v>5000</v>
      </c>
      <c r="R208">
        <v>30</v>
      </c>
      <c r="S208">
        <v>10</v>
      </c>
      <c r="T208">
        <v>30</v>
      </c>
      <c r="U208">
        <f t="shared" si="2"/>
        <v>30</v>
      </c>
      <c r="V208">
        <v>64</v>
      </c>
    </row>
    <row r="209" spans="15:22" x14ac:dyDescent="0.3">
      <c r="P209" t="s">
        <v>68</v>
      </c>
      <c r="Q209">
        <v>5000</v>
      </c>
      <c r="R209">
        <v>30</v>
      </c>
      <c r="S209">
        <v>10</v>
      </c>
      <c r="T209">
        <v>30</v>
      </c>
      <c r="U209">
        <f t="shared" si="2"/>
        <v>30</v>
      </c>
      <c r="V209">
        <v>64</v>
      </c>
    </row>
    <row r="210" spans="15:22" x14ac:dyDescent="0.3">
      <c r="P210" t="s">
        <v>59</v>
      </c>
      <c r="Q210">
        <v>5000</v>
      </c>
      <c r="R210">
        <v>30</v>
      </c>
      <c r="S210">
        <v>10</v>
      </c>
      <c r="T210">
        <v>30</v>
      </c>
      <c r="U210">
        <f t="shared" si="2"/>
        <v>30</v>
      </c>
      <c r="V210">
        <v>64</v>
      </c>
    </row>
    <row r="211" spans="15:22" x14ac:dyDescent="0.3">
      <c r="P211" t="s">
        <v>114</v>
      </c>
      <c r="Q211">
        <v>0</v>
      </c>
      <c r="R211">
        <v>0</v>
      </c>
      <c r="S211">
        <v>0</v>
      </c>
      <c r="T211">
        <v>0</v>
      </c>
      <c r="U211">
        <f t="shared" si="2"/>
        <v>100</v>
      </c>
      <c r="V211">
        <v>0</v>
      </c>
    </row>
    <row r="212" spans="15:22" x14ac:dyDescent="0.3">
      <c r="P212" t="s">
        <v>69</v>
      </c>
      <c r="Q212">
        <v>5000</v>
      </c>
      <c r="R212">
        <v>30</v>
      </c>
      <c r="S212">
        <v>10</v>
      </c>
      <c r="T212">
        <v>30</v>
      </c>
      <c r="U212">
        <f t="shared" si="2"/>
        <v>30</v>
      </c>
      <c r="V212">
        <v>64</v>
      </c>
    </row>
    <row r="213" spans="15:22" x14ac:dyDescent="0.3">
      <c r="P213" t="s">
        <v>70</v>
      </c>
      <c r="Q213">
        <v>5000</v>
      </c>
      <c r="R213">
        <v>30</v>
      </c>
      <c r="S213">
        <v>10</v>
      </c>
      <c r="T213">
        <v>30</v>
      </c>
      <c r="U213">
        <f t="shared" si="2"/>
        <v>30</v>
      </c>
      <c r="V213">
        <v>64</v>
      </c>
    </row>
    <row r="214" spans="15:22" x14ac:dyDescent="0.3">
      <c r="P214" t="s">
        <v>71</v>
      </c>
      <c r="Q214">
        <v>5000</v>
      </c>
      <c r="R214">
        <v>30</v>
      </c>
      <c r="S214">
        <v>10</v>
      </c>
      <c r="T214">
        <v>30</v>
      </c>
      <c r="U214">
        <f t="shared" si="2"/>
        <v>30</v>
      </c>
      <c r="V214">
        <v>64</v>
      </c>
    </row>
    <row r="215" spans="15:22" x14ac:dyDescent="0.3">
      <c r="P215" t="s">
        <v>72</v>
      </c>
      <c r="Q215">
        <v>5000</v>
      </c>
      <c r="R215">
        <v>30</v>
      </c>
      <c r="S215">
        <v>10</v>
      </c>
      <c r="T215">
        <v>30</v>
      </c>
      <c r="U215">
        <f t="shared" si="2"/>
        <v>30</v>
      </c>
      <c r="V215">
        <v>64</v>
      </c>
    </row>
    <row r="216" spans="15:22" x14ac:dyDescent="0.3">
      <c r="P216" t="s">
        <v>4</v>
      </c>
      <c r="Q216">
        <v>0</v>
      </c>
      <c r="R216">
        <v>0</v>
      </c>
      <c r="S216">
        <v>0</v>
      </c>
      <c r="T216">
        <v>0</v>
      </c>
      <c r="U216">
        <f t="shared" si="2"/>
        <v>100</v>
      </c>
      <c r="V216">
        <v>0</v>
      </c>
    </row>
    <row r="217" spans="15:22" x14ac:dyDescent="0.3">
      <c r="O217">
        <v>15</v>
      </c>
      <c r="P217" t="s">
        <v>60</v>
      </c>
      <c r="Q217">
        <v>0</v>
      </c>
      <c r="R217">
        <v>20</v>
      </c>
      <c r="S217">
        <v>1</v>
      </c>
      <c r="T217">
        <v>0</v>
      </c>
      <c r="U217">
        <f t="shared" si="2"/>
        <v>79</v>
      </c>
      <c r="V217">
        <v>0</v>
      </c>
    </row>
    <row r="218" spans="15:22" x14ac:dyDescent="0.3">
      <c r="P218" t="s">
        <v>61</v>
      </c>
      <c r="Q218">
        <v>5000</v>
      </c>
      <c r="R218">
        <v>20</v>
      </c>
      <c r="S218">
        <v>1</v>
      </c>
      <c r="T218">
        <v>0</v>
      </c>
      <c r="U218">
        <f t="shared" ref="U218:U281" si="3">100-(R218+S218+T218)</f>
        <v>79</v>
      </c>
      <c r="V218">
        <v>40</v>
      </c>
    </row>
    <row r="219" spans="15:22" x14ac:dyDescent="0.3">
      <c r="P219" t="s">
        <v>62</v>
      </c>
      <c r="Q219">
        <v>5000</v>
      </c>
      <c r="R219">
        <v>20</v>
      </c>
      <c r="S219">
        <v>1</v>
      </c>
      <c r="T219">
        <v>0</v>
      </c>
      <c r="U219">
        <f t="shared" si="3"/>
        <v>79</v>
      </c>
      <c r="V219">
        <v>40</v>
      </c>
    </row>
    <row r="220" spans="15:22" x14ac:dyDescent="0.3">
      <c r="P220" t="s">
        <v>63</v>
      </c>
      <c r="Q220">
        <v>0</v>
      </c>
      <c r="R220">
        <v>20</v>
      </c>
      <c r="S220">
        <v>1</v>
      </c>
      <c r="T220">
        <v>0</v>
      </c>
      <c r="U220">
        <f t="shared" si="3"/>
        <v>79</v>
      </c>
      <c r="V220">
        <v>0</v>
      </c>
    </row>
    <row r="221" spans="15:22" x14ac:dyDescent="0.3">
      <c r="P221" t="s">
        <v>64</v>
      </c>
      <c r="Q221">
        <v>0</v>
      </c>
      <c r="R221">
        <v>20</v>
      </c>
      <c r="S221">
        <v>1</v>
      </c>
      <c r="T221">
        <v>0</v>
      </c>
      <c r="U221">
        <f t="shared" si="3"/>
        <v>79</v>
      </c>
      <c r="V221">
        <v>0</v>
      </c>
    </row>
    <row r="222" spans="15:22" x14ac:dyDescent="0.3">
      <c r="P222" t="s">
        <v>65</v>
      </c>
      <c r="Q222">
        <v>0</v>
      </c>
      <c r="R222">
        <v>20</v>
      </c>
      <c r="S222">
        <v>1</v>
      </c>
      <c r="T222">
        <v>0</v>
      </c>
      <c r="U222">
        <f t="shared" si="3"/>
        <v>79</v>
      </c>
      <c r="V222">
        <v>0</v>
      </c>
    </row>
    <row r="223" spans="15:22" x14ac:dyDescent="0.3">
      <c r="P223" t="s">
        <v>66</v>
      </c>
      <c r="Q223">
        <v>5000</v>
      </c>
      <c r="R223">
        <v>20</v>
      </c>
      <c r="S223">
        <v>1</v>
      </c>
      <c r="T223">
        <v>0</v>
      </c>
      <c r="U223">
        <f t="shared" si="3"/>
        <v>79</v>
      </c>
      <c r="V223">
        <v>40</v>
      </c>
    </row>
    <row r="224" spans="15:22" x14ac:dyDescent="0.3">
      <c r="P224" t="s">
        <v>67</v>
      </c>
      <c r="Q224">
        <v>5000</v>
      </c>
      <c r="R224">
        <v>20</v>
      </c>
      <c r="S224">
        <v>1</v>
      </c>
      <c r="T224">
        <v>0</v>
      </c>
      <c r="U224">
        <f t="shared" si="3"/>
        <v>79</v>
      </c>
      <c r="V224">
        <v>40</v>
      </c>
    </row>
    <row r="225" spans="15:22" x14ac:dyDescent="0.3">
      <c r="P225" t="s">
        <v>68</v>
      </c>
      <c r="Q225">
        <v>0</v>
      </c>
      <c r="R225">
        <v>20</v>
      </c>
      <c r="S225">
        <v>1</v>
      </c>
      <c r="T225">
        <v>0</v>
      </c>
      <c r="U225">
        <f t="shared" si="3"/>
        <v>79</v>
      </c>
      <c r="V225">
        <v>0</v>
      </c>
    </row>
    <row r="226" spans="15:22" x14ac:dyDescent="0.3">
      <c r="P226" t="s">
        <v>59</v>
      </c>
      <c r="Q226">
        <v>5000</v>
      </c>
      <c r="R226">
        <v>20</v>
      </c>
      <c r="S226">
        <v>1</v>
      </c>
      <c r="T226">
        <v>0</v>
      </c>
      <c r="U226">
        <f t="shared" si="3"/>
        <v>79</v>
      </c>
      <c r="V226">
        <v>40</v>
      </c>
    </row>
    <row r="227" spans="15:22" x14ac:dyDescent="0.3">
      <c r="P227" t="s">
        <v>114</v>
      </c>
      <c r="Q227">
        <v>0</v>
      </c>
      <c r="R227">
        <v>0</v>
      </c>
      <c r="S227">
        <v>0</v>
      </c>
      <c r="T227">
        <v>0</v>
      </c>
      <c r="U227">
        <f t="shared" si="3"/>
        <v>100</v>
      </c>
      <c r="V227">
        <v>0</v>
      </c>
    </row>
    <row r="228" spans="15:22" x14ac:dyDescent="0.3">
      <c r="P228" t="s">
        <v>69</v>
      </c>
      <c r="Q228">
        <v>0</v>
      </c>
      <c r="R228">
        <v>20</v>
      </c>
      <c r="S228">
        <v>1</v>
      </c>
      <c r="T228">
        <v>0</v>
      </c>
      <c r="U228">
        <f t="shared" si="3"/>
        <v>79</v>
      </c>
      <c r="V228">
        <v>0</v>
      </c>
    </row>
    <row r="229" spans="15:22" x14ac:dyDescent="0.3">
      <c r="P229" t="s">
        <v>70</v>
      </c>
      <c r="Q229">
        <v>5000</v>
      </c>
      <c r="R229">
        <v>20</v>
      </c>
      <c r="S229">
        <v>1</v>
      </c>
      <c r="T229">
        <v>0</v>
      </c>
      <c r="U229">
        <f t="shared" si="3"/>
        <v>79</v>
      </c>
      <c r="V229">
        <v>40</v>
      </c>
    </row>
    <row r="230" spans="15:22" x14ac:dyDescent="0.3">
      <c r="P230" t="s">
        <v>71</v>
      </c>
      <c r="Q230">
        <v>5000</v>
      </c>
      <c r="R230">
        <v>20</v>
      </c>
      <c r="S230">
        <v>1</v>
      </c>
      <c r="T230">
        <v>0</v>
      </c>
      <c r="U230">
        <f t="shared" si="3"/>
        <v>79</v>
      </c>
      <c r="V230">
        <v>40</v>
      </c>
    </row>
    <row r="231" spans="15:22" x14ac:dyDescent="0.3">
      <c r="P231" t="s">
        <v>72</v>
      </c>
      <c r="Q231">
        <v>0</v>
      </c>
      <c r="R231">
        <v>20</v>
      </c>
      <c r="S231">
        <v>1</v>
      </c>
      <c r="T231">
        <v>0</v>
      </c>
      <c r="U231">
        <f t="shared" si="3"/>
        <v>79</v>
      </c>
      <c r="V231">
        <v>0</v>
      </c>
    </row>
    <row r="232" spans="15:22" x14ac:dyDescent="0.3">
      <c r="P232" t="s">
        <v>4</v>
      </c>
      <c r="Q232">
        <v>0</v>
      </c>
      <c r="R232">
        <v>0</v>
      </c>
      <c r="S232">
        <v>0</v>
      </c>
      <c r="T232">
        <v>0</v>
      </c>
      <c r="U232">
        <f t="shared" si="3"/>
        <v>100</v>
      </c>
      <c r="V232">
        <v>0</v>
      </c>
    </row>
    <row r="233" spans="15:22" x14ac:dyDescent="0.3">
      <c r="O233">
        <v>16</v>
      </c>
      <c r="P233" t="s">
        <v>60</v>
      </c>
      <c r="Q233">
        <v>2000</v>
      </c>
      <c r="R233">
        <v>0</v>
      </c>
      <c r="S233">
        <v>2</v>
      </c>
      <c r="T233">
        <v>20</v>
      </c>
      <c r="U233">
        <f t="shared" si="3"/>
        <v>78</v>
      </c>
      <c r="V233">
        <v>4</v>
      </c>
    </row>
    <row r="234" spans="15:22" x14ac:dyDescent="0.3">
      <c r="P234" t="s">
        <v>61</v>
      </c>
      <c r="Q234">
        <v>2000</v>
      </c>
      <c r="R234">
        <v>0</v>
      </c>
      <c r="S234">
        <v>1</v>
      </c>
      <c r="T234">
        <v>20</v>
      </c>
      <c r="U234">
        <f t="shared" si="3"/>
        <v>79</v>
      </c>
      <c r="V234">
        <v>4</v>
      </c>
    </row>
    <row r="235" spans="15:22" x14ac:dyDescent="0.3">
      <c r="P235" t="s">
        <v>62</v>
      </c>
      <c r="Q235">
        <v>2000</v>
      </c>
      <c r="R235">
        <v>0</v>
      </c>
      <c r="S235">
        <v>1</v>
      </c>
      <c r="T235">
        <v>10</v>
      </c>
      <c r="U235">
        <f t="shared" si="3"/>
        <v>89</v>
      </c>
      <c r="V235">
        <v>2</v>
      </c>
    </row>
    <row r="236" spans="15:22" x14ac:dyDescent="0.3">
      <c r="P236" t="s">
        <v>63</v>
      </c>
      <c r="Q236">
        <v>3000</v>
      </c>
      <c r="R236">
        <v>0</v>
      </c>
      <c r="S236">
        <v>1</v>
      </c>
      <c r="T236">
        <v>10</v>
      </c>
      <c r="U236">
        <f t="shared" si="3"/>
        <v>89</v>
      </c>
      <c r="V236">
        <v>2</v>
      </c>
    </row>
    <row r="237" spans="15:22" x14ac:dyDescent="0.3">
      <c r="P237" t="s">
        <v>64</v>
      </c>
      <c r="Q237">
        <v>2000</v>
      </c>
      <c r="R237">
        <v>0</v>
      </c>
      <c r="S237">
        <v>1</v>
      </c>
      <c r="T237">
        <v>10</v>
      </c>
      <c r="U237">
        <f t="shared" si="3"/>
        <v>89</v>
      </c>
      <c r="V237">
        <v>2</v>
      </c>
    </row>
    <row r="238" spans="15:22" x14ac:dyDescent="0.3">
      <c r="P238" t="s">
        <v>65</v>
      </c>
      <c r="Q238">
        <v>1000</v>
      </c>
      <c r="R238">
        <v>0</v>
      </c>
      <c r="S238">
        <v>2</v>
      </c>
      <c r="T238">
        <v>20</v>
      </c>
      <c r="U238">
        <f t="shared" si="3"/>
        <v>78</v>
      </c>
      <c r="V238">
        <v>9</v>
      </c>
    </row>
    <row r="239" spans="15:22" x14ac:dyDescent="0.3">
      <c r="P239" t="s">
        <v>66</v>
      </c>
      <c r="Q239">
        <v>1000</v>
      </c>
      <c r="R239">
        <v>0</v>
      </c>
      <c r="S239">
        <v>2</v>
      </c>
      <c r="T239">
        <v>20</v>
      </c>
      <c r="U239">
        <f t="shared" si="3"/>
        <v>78</v>
      </c>
      <c r="V239">
        <v>9</v>
      </c>
    </row>
    <row r="240" spans="15:22" x14ac:dyDescent="0.3">
      <c r="P240" t="s">
        <v>67</v>
      </c>
      <c r="Q240">
        <v>2000</v>
      </c>
      <c r="R240">
        <v>0</v>
      </c>
      <c r="S240">
        <v>1</v>
      </c>
      <c r="T240">
        <v>10</v>
      </c>
      <c r="U240">
        <f t="shared" si="3"/>
        <v>89</v>
      </c>
      <c r="V240">
        <v>2</v>
      </c>
    </row>
    <row r="241" spans="15:22" x14ac:dyDescent="0.3">
      <c r="P241" t="s">
        <v>68</v>
      </c>
      <c r="Q241">
        <v>3000</v>
      </c>
      <c r="R241">
        <v>0</v>
      </c>
      <c r="S241">
        <v>1</v>
      </c>
      <c r="T241">
        <v>10</v>
      </c>
      <c r="U241">
        <f t="shared" si="3"/>
        <v>89</v>
      </c>
      <c r="V241">
        <v>2</v>
      </c>
    </row>
    <row r="242" spans="15:22" x14ac:dyDescent="0.3">
      <c r="P242" t="s">
        <v>59</v>
      </c>
      <c r="Q242">
        <v>2000</v>
      </c>
      <c r="R242">
        <v>0</v>
      </c>
      <c r="S242">
        <v>1</v>
      </c>
      <c r="T242">
        <v>10</v>
      </c>
      <c r="U242">
        <f t="shared" si="3"/>
        <v>89</v>
      </c>
      <c r="V242">
        <v>2</v>
      </c>
    </row>
    <row r="243" spans="15:22" x14ac:dyDescent="0.3">
      <c r="P243" t="s">
        <v>114</v>
      </c>
      <c r="Q243">
        <v>0</v>
      </c>
      <c r="R243">
        <v>0</v>
      </c>
      <c r="S243">
        <v>0</v>
      </c>
      <c r="T243">
        <v>0</v>
      </c>
      <c r="U243">
        <f t="shared" si="3"/>
        <v>100</v>
      </c>
      <c r="V243">
        <v>0</v>
      </c>
    </row>
    <row r="244" spans="15:22" x14ac:dyDescent="0.3">
      <c r="P244" t="s">
        <v>69</v>
      </c>
      <c r="Q244">
        <v>1000</v>
      </c>
      <c r="R244">
        <v>0</v>
      </c>
      <c r="S244">
        <v>2</v>
      </c>
      <c r="T244">
        <v>20</v>
      </c>
      <c r="U244">
        <f t="shared" si="3"/>
        <v>78</v>
      </c>
      <c r="V244">
        <v>9</v>
      </c>
    </row>
    <row r="245" spans="15:22" x14ac:dyDescent="0.3">
      <c r="P245" t="s">
        <v>70</v>
      </c>
      <c r="Q245">
        <v>1000</v>
      </c>
      <c r="R245">
        <v>0</v>
      </c>
      <c r="S245">
        <v>2</v>
      </c>
      <c r="T245">
        <v>20</v>
      </c>
      <c r="U245">
        <f t="shared" si="3"/>
        <v>78</v>
      </c>
      <c r="V245">
        <v>9</v>
      </c>
    </row>
    <row r="246" spans="15:22" x14ac:dyDescent="0.3">
      <c r="P246" t="s">
        <v>71</v>
      </c>
      <c r="Q246">
        <v>2000</v>
      </c>
      <c r="R246">
        <v>0</v>
      </c>
      <c r="S246">
        <v>1</v>
      </c>
      <c r="T246">
        <v>10</v>
      </c>
      <c r="U246">
        <f t="shared" si="3"/>
        <v>89</v>
      </c>
      <c r="V246">
        <v>2</v>
      </c>
    </row>
    <row r="247" spans="15:22" x14ac:dyDescent="0.3">
      <c r="P247" t="s">
        <v>72</v>
      </c>
      <c r="Q247">
        <v>3000</v>
      </c>
      <c r="R247">
        <v>0</v>
      </c>
      <c r="S247">
        <v>1</v>
      </c>
      <c r="T247">
        <v>10</v>
      </c>
      <c r="U247">
        <f t="shared" si="3"/>
        <v>89</v>
      </c>
      <c r="V247">
        <v>2</v>
      </c>
    </row>
    <row r="248" spans="15:22" x14ac:dyDescent="0.3">
      <c r="P248" t="s">
        <v>4</v>
      </c>
      <c r="Q248">
        <v>0</v>
      </c>
      <c r="R248">
        <v>0</v>
      </c>
      <c r="S248">
        <v>0</v>
      </c>
      <c r="T248">
        <v>0</v>
      </c>
      <c r="U248">
        <f t="shared" si="3"/>
        <v>100</v>
      </c>
      <c r="V248">
        <v>0</v>
      </c>
    </row>
    <row r="249" spans="15:22" x14ac:dyDescent="0.3">
      <c r="O249">
        <v>17</v>
      </c>
      <c r="P249" t="s">
        <v>60</v>
      </c>
      <c r="Q249">
        <v>5000</v>
      </c>
      <c r="R249">
        <v>0</v>
      </c>
      <c r="S249">
        <v>1</v>
      </c>
      <c r="T249">
        <v>10</v>
      </c>
      <c r="U249">
        <f t="shared" si="3"/>
        <v>89</v>
      </c>
      <c r="V249">
        <v>1</v>
      </c>
    </row>
    <row r="250" spans="15:22" x14ac:dyDescent="0.3">
      <c r="P250" t="s">
        <v>61</v>
      </c>
      <c r="Q250">
        <v>5000</v>
      </c>
      <c r="R250">
        <v>0</v>
      </c>
      <c r="S250">
        <v>1</v>
      </c>
      <c r="T250">
        <v>10</v>
      </c>
      <c r="U250">
        <f t="shared" si="3"/>
        <v>89</v>
      </c>
      <c r="V250">
        <v>1</v>
      </c>
    </row>
    <row r="251" spans="15:22" x14ac:dyDescent="0.3">
      <c r="P251" t="s">
        <v>62</v>
      </c>
      <c r="Q251">
        <v>5000</v>
      </c>
      <c r="R251">
        <v>0</v>
      </c>
      <c r="S251">
        <v>1</v>
      </c>
      <c r="T251">
        <v>10</v>
      </c>
      <c r="U251">
        <f t="shared" si="3"/>
        <v>89</v>
      </c>
      <c r="V251">
        <v>1</v>
      </c>
    </row>
    <row r="252" spans="15:22" x14ac:dyDescent="0.3">
      <c r="P252" t="s">
        <v>63</v>
      </c>
      <c r="Q252">
        <v>5000</v>
      </c>
      <c r="R252">
        <v>0</v>
      </c>
      <c r="S252">
        <v>1</v>
      </c>
      <c r="T252">
        <v>10</v>
      </c>
      <c r="U252">
        <f t="shared" si="3"/>
        <v>89</v>
      </c>
      <c r="V252">
        <v>1</v>
      </c>
    </row>
    <row r="253" spans="15:22" x14ac:dyDescent="0.3">
      <c r="P253" t="s">
        <v>64</v>
      </c>
      <c r="Q253">
        <v>5000</v>
      </c>
      <c r="R253">
        <v>0</v>
      </c>
      <c r="S253">
        <v>1</v>
      </c>
      <c r="T253">
        <v>10</v>
      </c>
      <c r="U253">
        <f t="shared" si="3"/>
        <v>89</v>
      </c>
      <c r="V253">
        <v>1</v>
      </c>
    </row>
    <row r="254" spans="15:22" x14ac:dyDescent="0.3">
      <c r="P254" t="s">
        <v>65</v>
      </c>
      <c r="Q254">
        <v>5000</v>
      </c>
      <c r="R254">
        <v>0</v>
      </c>
      <c r="S254">
        <v>1</v>
      </c>
      <c r="T254">
        <v>10</v>
      </c>
      <c r="U254">
        <f t="shared" si="3"/>
        <v>89</v>
      </c>
      <c r="V254">
        <v>1</v>
      </c>
    </row>
    <row r="255" spans="15:22" x14ac:dyDescent="0.3">
      <c r="P255" t="s">
        <v>66</v>
      </c>
      <c r="Q255">
        <v>5000</v>
      </c>
      <c r="R255">
        <v>0</v>
      </c>
      <c r="S255">
        <v>1</v>
      </c>
      <c r="T255">
        <v>10</v>
      </c>
      <c r="U255">
        <f t="shared" si="3"/>
        <v>89</v>
      </c>
      <c r="V255">
        <v>1</v>
      </c>
    </row>
    <row r="256" spans="15:22" x14ac:dyDescent="0.3">
      <c r="P256" t="s">
        <v>67</v>
      </c>
      <c r="Q256">
        <v>5000</v>
      </c>
      <c r="R256">
        <v>0</v>
      </c>
      <c r="S256">
        <v>1</v>
      </c>
      <c r="T256">
        <v>10</v>
      </c>
      <c r="U256">
        <f t="shared" si="3"/>
        <v>89</v>
      </c>
      <c r="V256">
        <v>1</v>
      </c>
    </row>
    <row r="257" spans="15:22" x14ac:dyDescent="0.3">
      <c r="P257" t="s">
        <v>68</v>
      </c>
      <c r="Q257">
        <v>5000</v>
      </c>
      <c r="R257">
        <v>0</v>
      </c>
      <c r="S257">
        <v>1</v>
      </c>
      <c r="T257">
        <v>10</v>
      </c>
      <c r="U257">
        <f t="shared" si="3"/>
        <v>89</v>
      </c>
      <c r="V257">
        <v>1</v>
      </c>
    </row>
    <row r="258" spans="15:22" x14ac:dyDescent="0.3">
      <c r="P258" t="s">
        <v>59</v>
      </c>
      <c r="Q258">
        <v>5000</v>
      </c>
      <c r="R258">
        <v>0</v>
      </c>
      <c r="S258">
        <v>1</v>
      </c>
      <c r="T258">
        <v>10</v>
      </c>
      <c r="U258">
        <f t="shared" si="3"/>
        <v>89</v>
      </c>
      <c r="V258">
        <v>1</v>
      </c>
    </row>
    <row r="259" spans="15:22" x14ac:dyDescent="0.3">
      <c r="P259" t="s">
        <v>114</v>
      </c>
      <c r="Q259">
        <v>0</v>
      </c>
      <c r="R259">
        <v>0</v>
      </c>
      <c r="S259">
        <v>0</v>
      </c>
      <c r="T259">
        <v>0</v>
      </c>
      <c r="U259">
        <f t="shared" si="3"/>
        <v>100</v>
      </c>
      <c r="V259">
        <v>0</v>
      </c>
    </row>
    <row r="260" spans="15:22" x14ac:dyDescent="0.3">
      <c r="P260" t="s">
        <v>69</v>
      </c>
      <c r="Q260">
        <v>5000</v>
      </c>
      <c r="R260">
        <v>0</v>
      </c>
      <c r="S260">
        <v>1</v>
      </c>
      <c r="T260">
        <v>10</v>
      </c>
      <c r="U260">
        <f t="shared" si="3"/>
        <v>89</v>
      </c>
      <c r="V260">
        <v>1</v>
      </c>
    </row>
    <row r="261" spans="15:22" x14ac:dyDescent="0.3">
      <c r="P261" t="s">
        <v>70</v>
      </c>
      <c r="Q261">
        <v>5000</v>
      </c>
      <c r="R261">
        <v>0</v>
      </c>
      <c r="S261">
        <v>1</v>
      </c>
      <c r="T261">
        <v>10</v>
      </c>
      <c r="U261">
        <f t="shared" si="3"/>
        <v>89</v>
      </c>
      <c r="V261">
        <v>1</v>
      </c>
    </row>
    <row r="262" spans="15:22" x14ac:dyDescent="0.3">
      <c r="P262" t="s">
        <v>71</v>
      </c>
      <c r="Q262">
        <v>5000</v>
      </c>
      <c r="R262">
        <v>0</v>
      </c>
      <c r="S262">
        <v>1</v>
      </c>
      <c r="T262">
        <v>10</v>
      </c>
      <c r="U262">
        <f t="shared" si="3"/>
        <v>89</v>
      </c>
      <c r="V262">
        <v>1</v>
      </c>
    </row>
    <row r="263" spans="15:22" x14ac:dyDescent="0.3">
      <c r="P263" t="s">
        <v>72</v>
      </c>
      <c r="Q263">
        <v>5000</v>
      </c>
      <c r="R263">
        <v>0</v>
      </c>
      <c r="S263">
        <v>1</v>
      </c>
      <c r="T263">
        <v>10</v>
      </c>
      <c r="U263">
        <f t="shared" si="3"/>
        <v>89</v>
      </c>
      <c r="V263">
        <v>1</v>
      </c>
    </row>
    <row r="264" spans="15:22" x14ac:dyDescent="0.3">
      <c r="P264" t="s">
        <v>4</v>
      </c>
      <c r="Q264">
        <v>0</v>
      </c>
      <c r="R264">
        <v>0</v>
      </c>
      <c r="S264">
        <v>0</v>
      </c>
      <c r="T264">
        <v>0</v>
      </c>
      <c r="U264">
        <f t="shared" si="3"/>
        <v>100</v>
      </c>
      <c r="V264">
        <v>0</v>
      </c>
    </row>
    <row r="265" spans="15:22" x14ac:dyDescent="0.3">
      <c r="O265">
        <v>18</v>
      </c>
      <c r="P265" t="s">
        <v>60</v>
      </c>
      <c r="Q265">
        <v>5000</v>
      </c>
      <c r="R265">
        <v>10</v>
      </c>
      <c r="S265">
        <v>5</v>
      </c>
      <c r="T265">
        <v>30</v>
      </c>
      <c r="U265">
        <f t="shared" si="3"/>
        <v>55</v>
      </c>
      <c r="V265">
        <v>23</v>
      </c>
    </row>
    <row r="266" spans="15:22" x14ac:dyDescent="0.3">
      <c r="P266" t="s">
        <v>61</v>
      </c>
      <c r="Q266">
        <v>5000</v>
      </c>
      <c r="R266">
        <v>10</v>
      </c>
      <c r="S266">
        <v>5</v>
      </c>
      <c r="T266">
        <v>30</v>
      </c>
      <c r="U266">
        <f t="shared" si="3"/>
        <v>55</v>
      </c>
      <c r="V266">
        <v>23</v>
      </c>
    </row>
    <row r="267" spans="15:22" x14ac:dyDescent="0.3">
      <c r="P267" t="s">
        <v>62</v>
      </c>
      <c r="Q267">
        <v>5000</v>
      </c>
      <c r="R267">
        <v>10</v>
      </c>
      <c r="S267">
        <v>5</v>
      </c>
      <c r="T267">
        <v>30</v>
      </c>
      <c r="U267">
        <f t="shared" si="3"/>
        <v>55</v>
      </c>
      <c r="V267">
        <v>23</v>
      </c>
    </row>
    <row r="268" spans="15:22" x14ac:dyDescent="0.3">
      <c r="P268" t="s">
        <v>63</v>
      </c>
      <c r="Q268">
        <v>5000</v>
      </c>
      <c r="R268">
        <v>10</v>
      </c>
      <c r="S268">
        <v>5</v>
      </c>
      <c r="T268">
        <v>30</v>
      </c>
      <c r="U268">
        <f t="shared" si="3"/>
        <v>55</v>
      </c>
      <c r="V268">
        <v>23</v>
      </c>
    </row>
    <row r="269" spans="15:22" x14ac:dyDescent="0.3">
      <c r="P269" t="s">
        <v>64</v>
      </c>
      <c r="Q269">
        <v>5000</v>
      </c>
      <c r="R269">
        <v>10</v>
      </c>
      <c r="S269">
        <v>5</v>
      </c>
      <c r="T269">
        <v>30</v>
      </c>
      <c r="U269">
        <f t="shared" si="3"/>
        <v>55</v>
      </c>
      <c r="V269">
        <v>23</v>
      </c>
    </row>
    <row r="270" spans="15:22" x14ac:dyDescent="0.3">
      <c r="P270" t="s">
        <v>65</v>
      </c>
      <c r="Q270">
        <v>5000</v>
      </c>
      <c r="R270">
        <v>10</v>
      </c>
      <c r="S270">
        <v>5</v>
      </c>
      <c r="T270">
        <v>30</v>
      </c>
      <c r="U270">
        <f t="shared" si="3"/>
        <v>55</v>
      </c>
      <c r="V270">
        <v>23</v>
      </c>
    </row>
    <row r="271" spans="15:22" x14ac:dyDescent="0.3">
      <c r="P271" t="s">
        <v>66</v>
      </c>
      <c r="Q271">
        <v>5000</v>
      </c>
      <c r="R271">
        <v>10</v>
      </c>
      <c r="S271">
        <v>5</v>
      </c>
      <c r="T271">
        <v>30</v>
      </c>
      <c r="U271">
        <f t="shared" si="3"/>
        <v>55</v>
      </c>
      <c r="V271">
        <v>23</v>
      </c>
    </row>
    <row r="272" spans="15:22" x14ac:dyDescent="0.3">
      <c r="P272" t="s">
        <v>67</v>
      </c>
      <c r="Q272">
        <v>5000</v>
      </c>
      <c r="R272">
        <v>10</v>
      </c>
      <c r="S272">
        <v>5</v>
      </c>
      <c r="T272">
        <v>30</v>
      </c>
      <c r="U272">
        <f t="shared" si="3"/>
        <v>55</v>
      </c>
      <c r="V272">
        <v>23</v>
      </c>
    </row>
    <row r="273" spans="15:22" x14ac:dyDescent="0.3">
      <c r="P273" t="s">
        <v>68</v>
      </c>
      <c r="Q273">
        <v>5000</v>
      </c>
      <c r="R273">
        <v>10</v>
      </c>
      <c r="S273">
        <v>5</v>
      </c>
      <c r="T273">
        <v>30</v>
      </c>
      <c r="U273">
        <f t="shared" si="3"/>
        <v>55</v>
      </c>
      <c r="V273">
        <v>23</v>
      </c>
    </row>
    <row r="274" spans="15:22" x14ac:dyDescent="0.3">
      <c r="P274" t="s">
        <v>59</v>
      </c>
      <c r="Q274">
        <v>5000</v>
      </c>
      <c r="R274">
        <v>10</v>
      </c>
      <c r="S274">
        <v>5</v>
      </c>
      <c r="T274">
        <v>30</v>
      </c>
      <c r="U274">
        <f t="shared" si="3"/>
        <v>55</v>
      </c>
      <c r="V274">
        <v>23</v>
      </c>
    </row>
    <row r="275" spans="15:22" x14ac:dyDescent="0.3">
      <c r="P275" t="s">
        <v>114</v>
      </c>
      <c r="Q275">
        <v>0</v>
      </c>
      <c r="R275">
        <v>0</v>
      </c>
      <c r="S275">
        <v>0</v>
      </c>
      <c r="T275">
        <v>0</v>
      </c>
      <c r="U275">
        <f t="shared" si="3"/>
        <v>100</v>
      </c>
      <c r="V275">
        <v>0</v>
      </c>
    </row>
    <row r="276" spans="15:22" x14ac:dyDescent="0.3">
      <c r="P276" t="s">
        <v>69</v>
      </c>
      <c r="Q276">
        <v>5000</v>
      </c>
      <c r="R276">
        <v>10</v>
      </c>
      <c r="S276">
        <v>5</v>
      </c>
      <c r="T276">
        <v>30</v>
      </c>
      <c r="U276">
        <f t="shared" si="3"/>
        <v>55</v>
      </c>
      <c r="V276">
        <v>23</v>
      </c>
    </row>
    <row r="277" spans="15:22" x14ac:dyDescent="0.3">
      <c r="P277" t="s">
        <v>70</v>
      </c>
      <c r="Q277">
        <v>5000</v>
      </c>
      <c r="R277">
        <v>10</v>
      </c>
      <c r="S277">
        <v>5</v>
      </c>
      <c r="T277">
        <v>30</v>
      </c>
      <c r="U277">
        <f t="shared" si="3"/>
        <v>55</v>
      </c>
      <c r="V277">
        <v>23</v>
      </c>
    </row>
    <row r="278" spans="15:22" x14ac:dyDescent="0.3">
      <c r="P278" t="s">
        <v>71</v>
      </c>
      <c r="Q278">
        <v>3000</v>
      </c>
      <c r="R278">
        <v>10</v>
      </c>
      <c r="S278">
        <v>5</v>
      </c>
      <c r="T278">
        <v>30</v>
      </c>
      <c r="U278">
        <f t="shared" si="3"/>
        <v>55</v>
      </c>
      <c r="V278">
        <v>38</v>
      </c>
    </row>
    <row r="279" spans="15:22" x14ac:dyDescent="0.3">
      <c r="P279" t="s">
        <v>72</v>
      </c>
      <c r="Q279">
        <v>0</v>
      </c>
      <c r="R279">
        <v>10</v>
      </c>
      <c r="S279">
        <v>5</v>
      </c>
      <c r="T279">
        <v>30</v>
      </c>
      <c r="U279">
        <f t="shared" si="3"/>
        <v>55</v>
      </c>
      <c r="V279">
        <v>0</v>
      </c>
    </row>
    <row r="280" spans="15:22" x14ac:dyDescent="0.3">
      <c r="P280" t="s">
        <v>4</v>
      </c>
      <c r="Q280">
        <v>0</v>
      </c>
      <c r="R280">
        <v>0</v>
      </c>
      <c r="S280">
        <v>0</v>
      </c>
      <c r="T280">
        <v>0</v>
      </c>
      <c r="U280">
        <f t="shared" si="3"/>
        <v>100</v>
      </c>
      <c r="V280">
        <v>0</v>
      </c>
    </row>
    <row r="281" spans="15:22" x14ac:dyDescent="0.3">
      <c r="O281">
        <v>19</v>
      </c>
      <c r="P281" t="s">
        <v>60</v>
      </c>
      <c r="Q281">
        <v>50</v>
      </c>
      <c r="R281">
        <v>0</v>
      </c>
      <c r="S281">
        <v>0.1</v>
      </c>
      <c r="T281">
        <v>10</v>
      </c>
      <c r="U281">
        <f t="shared" si="3"/>
        <v>89.9</v>
      </c>
      <c r="V281">
        <v>63</v>
      </c>
    </row>
    <row r="282" spans="15:22" x14ac:dyDescent="0.3">
      <c r="P282" t="s">
        <v>61</v>
      </c>
      <c r="Q282">
        <v>50</v>
      </c>
      <c r="R282">
        <v>0</v>
      </c>
      <c r="S282">
        <v>0.1</v>
      </c>
      <c r="T282">
        <v>10</v>
      </c>
      <c r="U282">
        <f t="shared" ref="U282:U327" si="4">100-(R282+S282+T282)</f>
        <v>89.9</v>
      </c>
      <c r="V282">
        <v>63</v>
      </c>
    </row>
    <row r="283" spans="15:22" x14ac:dyDescent="0.3">
      <c r="P283" t="s">
        <v>62</v>
      </c>
      <c r="Q283">
        <v>50</v>
      </c>
      <c r="R283">
        <v>0</v>
      </c>
      <c r="S283">
        <v>0.1</v>
      </c>
      <c r="T283">
        <v>10</v>
      </c>
      <c r="U283">
        <f t="shared" si="4"/>
        <v>89.9</v>
      </c>
      <c r="V283">
        <v>63</v>
      </c>
    </row>
    <row r="284" spans="15:22" x14ac:dyDescent="0.3">
      <c r="P284" t="s">
        <v>63</v>
      </c>
      <c r="Q284">
        <v>50</v>
      </c>
      <c r="R284">
        <v>0</v>
      </c>
      <c r="S284">
        <v>0.1</v>
      </c>
      <c r="T284">
        <v>10</v>
      </c>
      <c r="U284">
        <f t="shared" si="4"/>
        <v>89.9</v>
      </c>
      <c r="V284">
        <v>63</v>
      </c>
    </row>
    <row r="285" spans="15:22" x14ac:dyDescent="0.3">
      <c r="P285" t="s">
        <v>64</v>
      </c>
      <c r="Q285">
        <v>50</v>
      </c>
      <c r="R285">
        <v>0</v>
      </c>
      <c r="S285">
        <v>0.1</v>
      </c>
      <c r="T285">
        <v>10</v>
      </c>
      <c r="U285">
        <f t="shared" si="4"/>
        <v>89.9</v>
      </c>
      <c r="V285">
        <v>63</v>
      </c>
    </row>
    <row r="286" spans="15:22" x14ac:dyDescent="0.3">
      <c r="P286" t="s">
        <v>65</v>
      </c>
      <c r="Q286">
        <v>20</v>
      </c>
      <c r="R286">
        <v>0</v>
      </c>
      <c r="S286">
        <v>0.1</v>
      </c>
      <c r="T286">
        <v>10</v>
      </c>
      <c r="U286">
        <f t="shared" si="4"/>
        <v>89.9</v>
      </c>
      <c r="V286">
        <v>208</v>
      </c>
    </row>
    <row r="287" spans="15:22" x14ac:dyDescent="0.3">
      <c r="P287" t="s">
        <v>66</v>
      </c>
      <c r="Q287">
        <v>20</v>
      </c>
      <c r="R287">
        <v>0</v>
      </c>
      <c r="S287">
        <v>0.1</v>
      </c>
      <c r="T287">
        <v>10</v>
      </c>
      <c r="U287">
        <f t="shared" si="4"/>
        <v>89.9</v>
      </c>
      <c r="V287">
        <v>208</v>
      </c>
    </row>
    <row r="288" spans="15:22" x14ac:dyDescent="0.3">
      <c r="P288" t="s">
        <v>67</v>
      </c>
      <c r="Q288">
        <v>20</v>
      </c>
      <c r="R288">
        <v>0</v>
      </c>
      <c r="S288">
        <v>0.1</v>
      </c>
      <c r="T288">
        <v>10</v>
      </c>
      <c r="U288">
        <f t="shared" si="4"/>
        <v>89.9</v>
      </c>
      <c r="V288">
        <v>208</v>
      </c>
    </row>
    <row r="289" spans="15:22" x14ac:dyDescent="0.3">
      <c r="P289" t="s">
        <v>68</v>
      </c>
      <c r="Q289">
        <v>20</v>
      </c>
      <c r="R289">
        <v>0</v>
      </c>
      <c r="S289">
        <v>0.1</v>
      </c>
      <c r="T289">
        <v>10</v>
      </c>
      <c r="U289">
        <f t="shared" si="4"/>
        <v>89.9</v>
      </c>
      <c r="V289">
        <v>208</v>
      </c>
    </row>
    <row r="290" spans="15:22" x14ac:dyDescent="0.3">
      <c r="P290" t="s">
        <v>59</v>
      </c>
      <c r="Q290">
        <v>50</v>
      </c>
      <c r="R290">
        <v>0</v>
      </c>
      <c r="S290">
        <v>0.1</v>
      </c>
      <c r="T290">
        <v>10</v>
      </c>
      <c r="U290">
        <f t="shared" si="4"/>
        <v>89.9</v>
      </c>
      <c r="V290">
        <v>63</v>
      </c>
    </row>
    <row r="291" spans="15:22" x14ac:dyDescent="0.3">
      <c r="P291" t="s">
        <v>114</v>
      </c>
      <c r="Q291">
        <v>10</v>
      </c>
      <c r="R291">
        <v>0</v>
      </c>
      <c r="S291">
        <v>0.1</v>
      </c>
      <c r="T291">
        <v>10</v>
      </c>
      <c r="U291">
        <f t="shared" si="4"/>
        <v>89.9</v>
      </c>
      <c r="V291">
        <v>311</v>
      </c>
    </row>
    <row r="292" spans="15:22" x14ac:dyDescent="0.3">
      <c r="P292" t="s">
        <v>69</v>
      </c>
      <c r="Q292">
        <v>50</v>
      </c>
      <c r="R292">
        <v>0</v>
      </c>
      <c r="S292">
        <v>0.1</v>
      </c>
      <c r="T292">
        <v>10</v>
      </c>
      <c r="U292">
        <f t="shared" si="4"/>
        <v>89.9</v>
      </c>
      <c r="V292">
        <v>63</v>
      </c>
    </row>
    <row r="293" spans="15:22" x14ac:dyDescent="0.3">
      <c r="P293" t="s">
        <v>70</v>
      </c>
      <c r="Q293">
        <v>50</v>
      </c>
      <c r="R293">
        <v>0</v>
      </c>
      <c r="S293">
        <v>0.1</v>
      </c>
      <c r="T293">
        <v>10</v>
      </c>
      <c r="U293">
        <f t="shared" si="4"/>
        <v>89.9</v>
      </c>
      <c r="V293">
        <v>63</v>
      </c>
    </row>
    <row r="294" spans="15:22" x14ac:dyDescent="0.3">
      <c r="P294" t="s">
        <v>71</v>
      </c>
      <c r="Q294">
        <v>50</v>
      </c>
      <c r="R294">
        <v>0</v>
      </c>
      <c r="S294">
        <v>0.1</v>
      </c>
      <c r="T294">
        <v>10</v>
      </c>
      <c r="U294">
        <f t="shared" si="4"/>
        <v>89.9</v>
      </c>
      <c r="V294">
        <v>63</v>
      </c>
    </row>
    <row r="295" spans="15:22" x14ac:dyDescent="0.3">
      <c r="P295" t="s">
        <v>72</v>
      </c>
      <c r="Q295">
        <v>50</v>
      </c>
      <c r="R295">
        <v>0</v>
      </c>
      <c r="S295">
        <v>0.1</v>
      </c>
      <c r="T295">
        <v>10</v>
      </c>
      <c r="U295">
        <f t="shared" si="4"/>
        <v>89.9</v>
      </c>
      <c r="V295">
        <v>63</v>
      </c>
    </row>
    <row r="296" spans="15:22" x14ac:dyDescent="0.3">
      <c r="P296" t="s">
        <v>4</v>
      </c>
      <c r="Q296">
        <v>0</v>
      </c>
      <c r="R296">
        <v>0</v>
      </c>
      <c r="S296">
        <v>0</v>
      </c>
      <c r="T296">
        <v>0</v>
      </c>
      <c r="U296">
        <f t="shared" si="4"/>
        <v>100</v>
      </c>
      <c r="V296">
        <v>0</v>
      </c>
    </row>
    <row r="297" spans="15:22" x14ac:dyDescent="0.3">
      <c r="O297">
        <v>20</v>
      </c>
      <c r="P297" t="s">
        <v>60</v>
      </c>
      <c r="Q297">
        <v>300</v>
      </c>
      <c r="R297">
        <v>0</v>
      </c>
      <c r="S297">
        <v>1</v>
      </c>
      <c r="T297">
        <v>10</v>
      </c>
      <c r="U297">
        <f t="shared" si="4"/>
        <v>89</v>
      </c>
      <c r="V297">
        <v>16</v>
      </c>
    </row>
    <row r="298" spans="15:22" x14ac:dyDescent="0.3">
      <c r="P298" t="s">
        <v>61</v>
      </c>
      <c r="Q298">
        <v>300</v>
      </c>
      <c r="R298">
        <v>0</v>
      </c>
      <c r="S298">
        <v>1</v>
      </c>
      <c r="T298">
        <v>10</v>
      </c>
      <c r="U298">
        <f t="shared" si="4"/>
        <v>89</v>
      </c>
      <c r="V298">
        <v>16</v>
      </c>
    </row>
    <row r="299" spans="15:22" x14ac:dyDescent="0.3">
      <c r="P299" t="s">
        <v>62</v>
      </c>
      <c r="Q299">
        <v>300</v>
      </c>
      <c r="R299">
        <v>0</v>
      </c>
      <c r="S299">
        <v>1</v>
      </c>
      <c r="T299">
        <v>10</v>
      </c>
      <c r="U299">
        <f t="shared" si="4"/>
        <v>89</v>
      </c>
      <c r="V299">
        <v>16</v>
      </c>
    </row>
    <row r="300" spans="15:22" x14ac:dyDescent="0.3">
      <c r="P300" t="s">
        <v>63</v>
      </c>
      <c r="Q300">
        <v>300</v>
      </c>
      <c r="R300">
        <v>0</v>
      </c>
      <c r="S300">
        <v>1</v>
      </c>
      <c r="T300">
        <v>10</v>
      </c>
      <c r="U300">
        <f t="shared" si="4"/>
        <v>89</v>
      </c>
      <c r="V300">
        <v>16</v>
      </c>
    </row>
    <row r="301" spans="15:22" x14ac:dyDescent="0.3">
      <c r="P301" t="s">
        <v>64</v>
      </c>
      <c r="Q301">
        <v>300</v>
      </c>
      <c r="R301">
        <v>0</v>
      </c>
      <c r="S301">
        <v>1</v>
      </c>
      <c r="T301">
        <v>10</v>
      </c>
      <c r="U301">
        <f t="shared" si="4"/>
        <v>89</v>
      </c>
      <c r="V301">
        <v>16</v>
      </c>
    </row>
    <row r="302" spans="15:22" x14ac:dyDescent="0.3">
      <c r="P302" t="s">
        <v>65</v>
      </c>
      <c r="Q302">
        <v>200</v>
      </c>
      <c r="R302">
        <v>0</v>
      </c>
      <c r="S302">
        <v>1</v>
      </c>
      <c r="T302">
        <v>10</v>
      </c>
      <c r="U302">
        <f t="shared" si="4"/>
        <v>89</v>
      </c>
      <c r="V302">
        <v>24</v>
      </c>
    </row>
    <row r="303" spans="15:22" x14ac:dyDescent="0.3">
      <c r="P303" t="s">
        <v>66</v>
      </c>
      <c r="Q303">
        <v>300</v>
      </c>
      <c r="R303">
        <v>0</v>
      </c>
      <c r="S303">
        <v>1</v>
      </c>
      <c r="T303">
        <v>10</v>
      </c>
      <c r="U303">
        <f t="shared" si="4"/>
        <v>89</v>
      </c>
      <c r="V303">
        <v>16</v>
      </c>
    </row>
    <row r="304" spans="15:22" x14ac:dyDescent="0.3">
      <c r="P304" t="s">
        <v>67</v>
      </c>
      <c r="Q304">
        <v>300</v>
      </c>
      <c r="R304">
        <v>0</v>
      </c>
      <c r="S304">
        <v>1</v>
      </c>
      <c r="T304">
        <v>10</v>
      </c>
      <c r="U304">
        <f t="shared" si="4"/>
        <v>89</v>
      </c>
      <c r="V304">
        <v>16</v>
      </c>
    </row>
    <row r="305" spans="15:22" x14ac:dyDescent="0.3">
      <c r="P305" t="s">
        <v>68</v>
      </c>
      <c r="Q305">
        <v>100</v>
      </c>
      <c r="R305">
        <v>0</v>
      </c>
      <c r="S305">
        <v>1</v>
      </c>
      <c r="T305">
        <v>10</v>
      </c>
      <c r="U305">
        <f t="shared" si="4"/>
        <v>89</v>
      </c>
      <c r="V305">
        <v>5</v>
      </c>
    </row>
    <row r="306" spans="15:22" x14ac:dyDescent="0.3">
      <c r="P306" t="s">
        <v>59</v>
      </c>
      <c r="Q306">
        <v>300</v>
      </c>
      <c r="R306">
        <v>0</v>
      </c>
      <c r="S306">
        <v>1</v>
      </c>
      <c r="T306">
        <v>10</v>
      </c>
      <c r="U306">
        <f t="shared" si="4"/>
        <v>89</v>
      </c>
      <c r="V306">
        <v>16</v>
      </c>
    </row>
    <row r="307" spans="15:22" x14ac:dyDescent="0.3">
      <c r="P307" t="s">
        <v>114</v>
      </c>
      <c r="Q307">
        <v>0</v>
      </c>
      <c r="R307">
        <v>0</v>
      </c>
      <c r="S307">
        <v>0</v>
      </c>
      <c r="T307">
        <v>0</v>
      </c>
      <c r="U307">
        <f t="shared" si="4"/>
        <v>100</v>
      </c>
      <c r="V307">
        <v>0</v>
      </c>
    </row>
    <row r="308" spans="15:22" x14ac:dyDescent="0.3">
      <c r="P308" t="s">
        <v>69</v>
      </c>
      <c r="Q308">
        <v>300</v>
      </c>
      <c r="R308">
        <v>0</v>
      </c>
      <c r="S308">
        <v>1</v>
      </c>
      <c r="T308">
        <v>10</v>
      </c>
      <c r="U308">
        <f t="shared" si="4"/>
        <v>89</v>
      </c>
      <c r="V308">
        <v>16</v>
      </c>
    </row>
    <row r="309" spans="15:22" x14ac:dyDescent="0.3">
      <c r="P309" t="s">
        <v>70</v>
      </c>
      <c r="Q309">
        <v>300</v>
      </c>
      <c r="R309">
        <v>0</v>
      </c>
      <c r="S309">
        <v>1</v>
      </c>
      <c r="T309">
        <v>10</v>
      </c>
      <c r="U309">
        <f t="shared" si="4"/>
        <v>89</v>
      </c>
      <c r="V309">
        <v>16</v>
      </c>
    </row>
    <row r="310" spans="15:22" x14ac:dyDescent="0.3">
      <c r="P310" t="s">
        <v>71</v>
      </c>
      <c r="Q310">
        <v>300</v>
      </c>
      <c r="R310">
        <v>0</v>
      </c>
      <c r="S310">
        <v>1</v>
      </c>
      <c r="T310">
        <v>10</v>
      </c>
      <c r="U310">
        <f t="shared" si="4"/>
        <v>89</v>
      </c>
      <c r="V310">
        <v>16</v>
      </c>
    </row>
    <row r="311" spans="15:22" x14ac:dyDescent="0.3">
      <c r="P311" t="s">
        <v>72</v>
      </c>
      <c r="Q311">
        <v>300</v>
      </c>
      <c r="R311">
        <v>0</v>
      </c>
      <c r="S311">
        <v>1</v>
      </c>
      <c r="T311">
        <v>10</v>
      </c>
      <c r="U311">
        <f t="shared" si="4"/>
        <v>89</v>
      </c>
      <c r="V311">
        <v>16</v>
      </c>
    </row>
    <row r="312" spans="15:22" x14ac:dyDescent="0.3">
      <c r="P312" t="s">
        <v>4</v>
      </c>
      <c r="Q312">
        <v>0</v>
      </c>
      <c r="R312">
        <v>0</v>
      </c>
      <c r="S312">
        <v>0</v>
      </c>
      <c r="T312">
        <v>0</v>
      </c>
      <c r="U312">
        <f t="shared" si="4"/>
        <v>100</v>
      </c>
      <c r="V312">
        <v>0</v>
      </c>
    </row>
    <row r="313" spans="15:22" x14ac:dyDescent="0.3">
      <c r="O313">
        <v>21</v>
      </c>
      <c r="P313" t="s">
        <v>60</v>
      </c>
      <c r="Q313">
        <v>5000</v>
      </c>
      <c r="R313">
        <v>0.1</v>
      </c>
      <c r="S313">
        <v>1</v>
      </c>
      <c r="T313">
        <v>10</v>
      </c>
      <c r="U313">
        <f t="shared" si="4"/>
        <v>88.9</v>
      </c>
      <c r="V313">
        <v>1</v>
      </c>
    </row>
    <row r="314" spans="15:22" x14ac:dyDescent="0.3">
      <c r="P314" t="s">
        <v>61</v>
      </c>
      <c r="Q314">
        <v>5000</v>
      </c>
      <c r="R314">
        <v>0.1</v>
      </c>
      <c r="S314">
        <v>1</v>
      </c>
      <c r="T314">
        <v>10</v>
      </c>
      <c r="U314">
        <f t="shared" si="4"/>
        <v>88.9</v>
      </c>
      <c r="V314">
        <v>1</v>
      </c>
    </row>
    <row r="315" spans="15:22" x14ac:dyDescent="0.3">
      <c r="P315" t="s">
        <v>62</v>
      </c>
      <c r="Q315">
        <v>5000</v>
      </c>
      <c r="R315">
        <v>0.1</v>
      </c>
      <c r="S315">
        <v>1</v>
      </c>
      <c r="T315">
        <v>10</v>
      </c>
      <c r="U315">
        <f t="shared" si="4"/>
        <v>88.9</v>
      </c>
      <c r="V315">
        <v>1</v>
      </c>
    </row>
    <row r="316" spans="15:22" x14ac:dyDescent="0.3">
      <c r="P316" t="s">
        <v>63</v>
      </c>
      <c r="Q316">
        <v>5000</v>
      </c>
      <c r="R316">
        <v>0.1</v>
      </c>
      <c r="S316">
        <v>1</v>
      </c>
      <c r="T316">
        <v>10</v>
      </c>
      <c r="U316">
        <f t="shared" si="4"/>
        <v>88.9</v>
      </c>
      <c r="V316">
        <v>1</v>
      </c>
    </row>
    <row r="317" spans="15:22" x14ac:dyDescent="0.3">
      <c r="P317" t="s">
        <v>64</v>
      </c>
      <c r="Q317">
        <v>5000</v>
      </c>
      <c r="R317">
        <v>0.1</v>
      </c>
      <c r="S317">
        <v>1</v>
      </c>
      <c r="T317">
        <v>10</v>
      </c>
      <c r="U317">
        <f t="shared" si="4"/>
        <v>88.9</v>
      </c>
      <c r="V317">
        <v>1</v>
      </c>
    </row>
    <row r="318" spans="15:22" x14ac:dyDescent="0.3">
      <c r="P318" t="s">
        <v>65</v>
      </c>
      <c r="Q318">
        <v>5000</v>
      </c>
      <c r="R318">
        <v>0.1</v>
      </c>
      <c r="S318">
        <v>1</v>
      </c>
      <c r="T318">
        <v>10</v>
      </c>
      <c r="U318">
        <f t="shared" si="4"/>
        <v>88.9</v>
      </c>
      <c r="V318">
        <v>1</v>
      </c>
    </row>
    <row r="319" spans="15:22" x14ac:dyDescent="0.3">
      <c r="P319" t="s">
        <v>66</v>
      </c>
      <c r="Q319">
        <v>5000</v>
      </c>
      <c r="R319">
        <v>0.1</v>
      </c>
      <c r="S319">
        <v>1</v>
      </c>
      <c r="T319">
        <v>10</v>
      </c>
      <c r="U319">
        <f t="shared" si="4"/>
        <v>88.9</v>
      </c>
      <c r="V319">
        <v>1</v>
      </c>
    </row>
    <row r="320" spans="15:22" x14ac:dyDescent="0.3">
      <c r="P320" t="s">
        <v>67</v>
      </c>
      <c r="Q320">
        <v>5000</v>
      </c>
      <c r="R320">
        <v>0.1</v>
      </c>
      <c r="S320">
        <v>1</v>
      </c>
      <c r="T320">
        <v>10</v>
      </c>
      <c r="U320">
        <f t="shared" si="4"/>
        <v>88.9</v>
      </c>
      <c r="V320">
        <v>1</v>
      </c>
    </row>
    <row r="321" spans="16:22" x14ac:dyDescent="0.3">
      <c r="P321" t="s">
        <v>68</v>
      </c>
      <c r="Q321">
        <v>5000</v>
      </c>
      <c r="R321">
        <v>0.1</v>
      </c>
      <c r="S321">
        <v>1</v>
      </c>
      <c r="T321">
        <v>10</v>
      </c>
      <c r="U321">
        <f t="shared" si="4"/>
        <v>88.9</v>
      </c>
      <c r="V321">
        <v>1</v>
      </c>
    </row>
    <row r="322" spans="16:22" x14ac:dyDescent="0.3">
      <c r="P322" t="s">
        <v>59</v>
      </c>
      <c r="Q322">
        <v>5000</v>
      </c>
      <c r="R322">
        <v>0.1</v>
      </c>
      <c r="S322">
        <v>1</v>
      </c>
      <c r="T322">
        <v>10</v>
      </c>
      <c r="U322">
        <f t="shared" si="4"/>
        <v>88.9</v>
      </c>
      <c r="V322">
        <v>1</v>
      </c>
    </row>
    <row r="323" spans="16:22" x14ac:dyDescent="0.3">
      <c r="P323" t="s">
        <v>114</v>
      </c>
      <c r="Q323">
        <v>0</v>
      </c>
      <c r="R323">
        <v>0</v>
      </c>
      <c r="S323">
        <v>0</v>
      </c>
      <c r="T323">
        <v>0</v>
      </c>
      <c r="U323">
        <f t="shared" si="4"/>
        <v>100</v>
      </c>
      <c r="V323">
        <v>0</v>
      </c>
    </row>
    <row r="324" spans="16:22" x14ac:dyDescent="0.3">
      <c r="P324" t="s">
        <v>69</v>
      </c>
      <c r="Q324">
        <v>5000</v>
      </c>
      <c r="R324">
        <v>0.1</v>
      </c>
      <c r="S324">
        <v>1</v>
      </c>
      <c r="T324">
        <v>10</v>
      </c>
      <c r="U324">
        <f t="shared" si="4"/>
        <v>88.9</v>
      </c>
      <c r="V324">
        <v>1</v>
      </c>
    </row>
    <row r="325" spans="16:22" x14ac:dyDescent="0.3">
      <c r="P325" t="s">
        <v>70</v>
      </c>
      <c r="Q325">
        <v>5000</v>
      </c>
      <c r="R325">
        <v>0.1</v>
      </c>
      <c r="S325">
        <v>1</v>
      </c>
      <c r="T325">
        <v>10</v>
      </c>
      <c r="U325">
        <f t="shared" si="4"/>
        <v>88.9</v>
      </c>
      <c r="V325">
        <v>1</v>
      </c>
    </row>
    <row r="326" spans="16:22" x14ac:dyDescent="0.3">
      <c r="P326" t="s">
        <v>71</v>
      </c>
      <c r="Q326">
        <v>5000</v>
      </c>
      <c r="R326">
        <v>0.1</v>
      </c>
      <c r="S326">
        <v>1</v>
      </c>
      <c r="T326">
        <v>10</v>
      </c>
      <c r="U326">
        <f t="shared" si="4"/>
        <v>88.9</v>
      </c>
      <c r="V326">
        <v>1</v>
      </c>
    </row>
    <row r="327" spans="16:22" x14ac:dyDescent="0.3">
      <c r="P327" t="s">
        <v>72</v>
      </c>
      <c r="Q327">
        <v>5000</v>
      </c>
      <c r="R327">
        <v>0.1</v>
      </c>
      <c r="S327">
        <v>1</v>
      </c>
      <c r="T327">
        <v>10</v>
      </c>
      <c r="U327">
        <f t="shared" si="4"/>
        <v>88.9</v>
      </c>
      <c r="V327">
        <v>1</v>
      </c>
    </row>
    <row r="328" spans="16:22" x14ac:dyDescent="0.3">
      <c r="P328" t="s">
        <v>4</v>
      </c>
    </row>
  </sheetData>
  <mergeCells count="52">
    <mergeCell ref="H20:I20"/>
    <mergeCell ref="J20:K20"/>
    <mergeCell ref="H21:I21"/>
    <mergeCell ref="H22:I22"/>
    <mergeCell ref="H23:I23"/>
    <mergeCell ref="J21:K21"/>
    <mergeCell ref="J22:K22"/>
    <mergeCell ref="J23:K23"/>
    <mergeCell ref="Y16:AI16"/>
    <mergeCell ref="Y15:Z15"/>
    <mergeCell ref="Y17:Z18"/>
    <mergeCell ref="AA17:AA18"/>
    <mergeCell ref="AB15:AC15"/>
    <mergeCell ref="AB17:AC17"/>
    <mergeCell ref="AB18:AC18"/>
    <mergeCell ref="AE15:AF15"/>
    <mergeCell ref="AH15:AI15"/>
    <mergeCell ref="AD17:AD18"/>
    <mergeCell ref="AE17:AE18"/>
    <mergeCell ref="AF17:AF18"/>
    <mergeCell ref="AH17:AI18"/>
    <mergeCell ref="Y26:Z27"/>
    <mergeCell ref="AA26:AA27"/>
    <mergeCell ref="AB26:AC26"/>
    <mergeCell ref="AD26:AD27"/>
    <mergeCell ref="AE26:AE27"/>
    <mergeCell ref="AA23:AA24"/>
    <mergeCell ref="AB23:AC23"/>
    <mergeCell ref="AG20:AG21"/>
    <mergeCell ref="AG23:AG24"/>
    <mergeCell ref="AB20:AC20"/>
    <mergeCell ref="Y19:AI19"/>
    <mergeCell ref="AG17:AG18"/>
    <mergeCell ref="AD20:AD21"/>
    <mergeCell ref="AE20:AE21"/>
    <mergeCell ref="AF20:AF21"/>
    <mergeCell ref="AG26:AG27"/>
    <mergeCell ref="AH26:AI27"/>
    <mergeCell ref="AB27:AC27"/>
    <mergeCell ref="AF26:AF27"/>
    <mergeCell ref="AB21:AC21"/>
    <mergeCell ref="AE23:AE24"/>
    <mergeCell ref="AF23:AF24"/>
    <mergeCell ref="AB24:AC24"/>
    <mergeCell ref="Y22:AI22"/>
    <mergeCell ref="AH23:AI24"/>
    <mergeCell ref="AH20:AI21"/>
    <mergeCell ref="Y20:Z21"/>
    <mergeCell ref="AA20:AA21"/>
    <mergeCell ref="Y23:Z24"/>
    <mergeCell ref="AD23:AD24"/>
    <mergeCell ref="Y25:AI25"/>
  </mergeCells>
  <phoneticPr fontId="4" type="noConversion"/>
  <hyperlinks>
    <hyperlink ref="C27" r:id="rId1" xr:uid="{403FC1AD-8ABB-4629-83F0-BED6EE26633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A23F0-A105-4FC4-AFA3-B5B6A55114AD}">
  <sheetPr codeName="Sheet3"/>
  <dimension ref="A1:AB255"/>
  <sheetViews>
    <sheetView topLeftCell="A97" zoomScaleNormal="100" workbookViewId="0">
      <selection activeCell="D5" sqref="D5:D8"/>
    </sheetView>
  </sheetViews>
  <sheetFormatPr defaultColWidth="44.59765625" defaultRowHeight="28.5" customHeight="1" x14ac:dyDescent="0.3"/>
  <cols>
    <col min="1" max="1" width="7.19921875" style="17" customWidth="1"/>
    <col min="2" max="2" width="127.8984375" style="27" customWidth="1"/>
    <col min="3" max="3" width="11.19921875" style="65" customWidth="1"/>
    <col min="4" max="5" width="11.19921875" style="17" customWidth="1"/>
    <col min="6" max="11" width="12.59765625" style="17" customWidth="1"/>
    <col min="12" max="13" width="10.69921875" style="17" customWidth="1"/>
    <col min="14" max="14" width="10.69921875" style="25" customWidth="1"/>
    <col min="15" max="17" width="10.69921875" style="17" customWidth="1"/>
    <col min="18" max="22" width="11.19921875" style="17" customWidth="1"/>
    <col min="23" max="24" width="11.59765625" style="17" customWidth="1"/>
    <col min="25" max="27" width="9.5" style="17" customWidth="1"/>
    <col min="28" max="28" width="44.59765625" style="24"/>
    <col min="29" max="16384" width="44.59765625" style="17"/>
  </cols>
  <sheetData>
    <row r="1" spans="1:18" ht="15.6" customHeight="1" x14ac:dyDescent="0.3">
      <c r="A1" s="17">
        <v>1</v>
      </c>
      <c r="B1" t="s">
        <v>141</v>
      </c>
      <c r="C1" s="65">
        <v>1.1000000000000001</v>
      </c>
    </row>
    <row r="2" spans="1:18" ht="17.399999999999999" customHeight="1" x14ac:dyDescent="0.3">
      <c r="A2" s="17">
        <v>1</v>
      </c>
      <c r="B2" s="27" t="s">
        <v>142</v>
      </c>
      <c r="C2" s="66">
        <v>1.2</v>
      </c>
      <c r="D2"/>
      <c r="E2"/>
      <c r="G2"/>
      <c r="H2"/>
      <c r="I2"/>
      <c r="J2"/>
      <c r="O2"/>
      <c r="P2"/>
      <c r="Q2"/>
      <c r="R2"/>
    </row>
    <row r="3" spans="1:18" ht="17.399999999999999" customHeight="1" x14ac:dyDescent="0.3">
      <c r="A3" s="17">
        <v>1</v>
      </c>
      <c r="B3" s="27" t="s">
        <v>143</v>
      </c>
      <c r="C3" s="66">
        <v>1.3</v>
      </c>
      <c r="D3"/>
      <c r="E3"/>
      <c r="G3"/>
      <c r="H3"/>
      <c r="I3"/>
      <c r="J3"/>
      <c r="O3"/>
      <c r="P3"/>
      <c r="Q3"/>
      <c r="R3"/>
    </row>
    <row r="4" spans="1:18" ht="17.399999999999999" customHeight="1" x14ac:dyDescent="0.3">
      <c r="A4" s="17">
        <v>1</v>
      </c>
      <c r="B4" s="27" t="s">
        <v>144</v>
      </c>
      <c r="C4" s="65">
        <v>1.4</v>
      </c>
      <c r="D4"/>
      <c r="E4"/>
      <c r="G4"/>
      <c r="H4"/>
      <c r="I4"/>
      <c r="J4"/>
      <c r="O4"/>
      <c r="P4"/>
      <c r="Q4"/>
      <c r="R4"/>
    </row>
    <row r="5" spans="1:18" ht="17.399999999999999" customHeight="1" x14ac:dyDescent="0.3">
      <c r="A5" s="17">
        <v>1</v>
      </c>
      <c r="B5" s="27" t="s">
        <v>145</v>
      </c>
      <c r="C5" s="66">
        <v>1.5</v>
      </c>
      <c r="D5" t="s">
        <v>690</v>
      </c>
      <c r="E5"/>
      <c r="G5"/>
      <c r="H5"/>
      <c r="I5"/>
      <c r="J5"/>
      <c r="O5"/>
      <c r="P5"/>
      <c r="Q5"/>
      <c r="R5"/>
    </row>
    <row r="6" spans="1:18" ht="17.399999999999999" customHeight="1" x14ac:dyDescent="0.3">
      <c r="A6" s="17">
        <v>1</v>
      </c>
      <c r="B6" s="27" t="s">
        <v>146</v>
      </c>
      <c r="C6" s="66">
        <v>1.6</v>
      </c>
      <c r="D6" t="s">
        <v>690</v>
      </c>
      <c r="E6"/>
      <c r="G6"/>
      <c r="H6"/>
      <c r="I6"/>
      <c r="J6"/>
      <c r="O6"/>
      <c r="P6"/>
      <c r="Q6"/>
      <c r="R6"/>
    </row>
    <row r="7" spans="1:18" ht="17.399999999999999" customHeight="1" x14ac:dyDescent="0.3">
      <c r="A7" s="17">
        <v>1</v>
      </c>
      <c r="B7" s="27" t="s">
        <v>147</v>
      </c>
      <c r="C7" s="65">
        <v>1.7</v>
      </c>
      <c r="D7" t="s">
        <v>690</v>
      </c>
      <c r="E7"/>
      <c r="G7"/>
      <c r="H7"/>
      <c r="I7"/>
      <c r="J7"/>
      <c r="O7"/>
      <c r="P7"/>
      <c r="Q7"/>
      <c r="R7"/>
    </row>
    <row r="8" spans="1:18" ht="17.399999999999999" customHeight="1" x14ac:dyDescent="0.3">
      <c r="A8" s="17">
        <v>1</v>
      </c>
      <c r="B8" s="27" t="s">
        <v>148</v>
      </c>
      <c r="C8" s="66">
        <v>1.8</v>
      </c>
      <c r="D8" t="s">
        <v>690</v>
      </c>
      <c r="E8"/>
      <c r="G8"/>
      <c r="H8"/>
      <c r="I8"/>
      <c r="J8"/>
      <c r="O8"/>
      <c r="P8"/>
      <c r="Q8"/>
      <c r="R8"/>
    </row>
    <row r="9" spans="1:18" ht="17.399999999999999" customHeight="1" x14ac:dyDescent="0.3">
      <c r="A9" s="17">
        <v>1</v>
      </c>
      <c r="B9" s="27" t="s">
        <v>149</v>
      </c>
      <c r="C9" s="66">
        <v>1.9</v>
      </c>
      <c r="D9"/>
      <c r="E9"/>
      <c r="G9"/>
      <c r="H9"/>
      <c r="I9"/>
      <c r="J9"/>
      <c r="O9"/>
      <c r="P9"/>
      <c r="Q9"/>
      <c r="R9"/>
    </row>
    <row r="10" spans="1:18" ht="17.399999999999999" customHeight="1" x14ac:dyDescent="0.3">
      <c r="A10" s="17">
        <v>1</v>
      </c>
      <c r="B10" s="27" t="s">
        <v>150</v>
      </c>
      <c r="C10" s="65" t="s">
        <v>510</v>
      </c>
      <c r="D10"/>
      <c r="E10"/>
      <c r="G10"/>
      <c r="H10"/>
      <c r="I10"/>
      <c r="J10"/>
      <c r="O10"/>
      <c r="P10"/>
      <c r="Q10"/>
      <c r="R10"/>
    </row>
    <row r="11" spans="1:18" ht="17.399999999999999" customHeight="1" x14ac:dyDescent="0.3">
      <c r="A11" s="17">
        <v>1</v>
      </c>
      <c r="B11" s="27" t="s">
        <v>151</v>
      </c>
      <c r="C11" s="66">
        <v>1.1100000000000001</v>
      </c>
      <c r="D11"/>
      <c r="E11"/>
      <c r="G11"/>
      <c r="H11"/>
      <c r="I11"/>
      <c r="J11"/>
      <c r="O11"/>
      <c r="P11"/>
      <c r="Q11"/>
      <c r="R11"/>
    </row>
    <row r="12" spans="1:18" ht="17.399999999999999" customHeight="1" x14ac:dyDescent="0.3">
      <c r="A12" s="17">
        <v>1</v>
      </c>
      <c r="B12" s="27" t="s">
        <v>152</v>
      </c>
      <c r="C12" s="66">
        <v>1.1200000000000001</v>
      </c>
      <c r="D12"/>
      <c r="E12"/>
      <c r="G12"/>
      <c r="H12"/>
      <c r="I12"/>
      <c r="J12"/>
      <c r="O12"/>
      <c r="P12"/>
      <c r="Q12"/>
      <c r="R12"/>
    </row>
    <row r="13" spans="1:18" ht="17.399999999999999" customHeight="1" x14ac:dyDescent="0.3">
      <c r="A13" s="17">
        <v>2</v>
      </c>
      <c r="B13" s="27" t="s">
        <v>139</v>
      </c>
      <c r="C13" s="66" t="s">
        <v>511</v>
      </c>
    </row>
    <row r="14" spans="1:18" ht="17.399999999999999" customHeight="1" x14ac:dyDescent="0.3">
      <c r="A14" s="17">
        <v>2</v>
      </c>
      <c r="B14" s="27" t="s">
        <v>140</v>
      </c>
      <c r="C14" s="66" t="s">
        <v>512</v>
      </c>
      <c r="D14"/>
      <c r="E14"/>
      <c r="G14"/>
      <c r="H14"/>
      <c r="I14"/>
      <c r="J14"/>
      <c r="O14"/>
      <c r="P14"/>
      <c r="Q14"/>
      <c r="R14"/>
    </row>
    <row r="15" spans="1:18" ht="17.399999999999999" customHeight="1" x14ac:dyDescent="0.3">
      <c r="A15" s="17">
        <v>2</v>
      </c>
      <c r="B15" s="27" t="s">
        <v>125</v>
      </c>
      <c r="C15" s="66" t="s">
        <v>513</v>
      </c>
      <c r="D15"/>
      <c r="E15"/>
      <c r="G15"/>
      <c r="H15"/>
      <c r="I15"/>
      <c r="J15"/>
      <c r="O15"/>
      <c r="P15"/>
      <c r="Q15"/>
      <c r="R15"/>
    </row>
    <row r="16" spans="1:18" ht="17.399999999999999" customHeight="1" x14ac:dyDescent="0.3">
      <c r="A16" s="17">
        <v>2</v>
      </c>
      <c r="B16" s="27" t="s">
        <v>126</v>
      </c>
      <c r="C16" s="66" t="s">
        <v>514</v>
      </c>
      <c r="D16"/>
      <c r="E16"/>
      <c r="G16"/>
      <c r="H16"/>
      <c r="I16"/>
      <c r="J16"/>
      <c r="O16"/>
      <c r="P16"/>
      <c r="Q16"/>
      <c r="R16"/>
    </row>
    <row r="17" spans="1:18" ht="17.399999999999999" customHeight="1" x14ac:dyDescent="0.3">
      <c r="A17" s="17">
        <v>2</v>
      </c>
      <c r="B17" s="27" t="s">
        <v>127</v>
      </c>
      <c r="C17" s="66" t="s">
        <v>515</v>
      </c>
      <c r="D17"/>
      <c r="E17"/>
      <c r="G17"/>
      <c r="H17"/>
      <c r="I17"/>
      <c r="J17"/>
      <c r="O17"/>
      <c r="P17"/>
      <c r="Q17"/>
      <c r="R17"/>
    </row>
    <row r="18" spans="1:18" ht="17.399999999999999" customHeight="1" x14ac:dyDescent="0.3">
      <c r="A18" s="17">
        <v>2</v>
      </c>
      <c r="B18" s="27" t="s">
        <v>128</v>
      </c>
      <c r="C18" s="66" t="s">
        <v>516</v>
      </c>
      <c r="D18"/>
      <c r="E18"/>
      <c r="G18"/>
      <c r="H18"/>
      <c r="I18"/>
      <c r="J18"/>
      <c r="O18"/>
      <c r="P18"/>
      <c r="Q18"/>
      <c r="R18"/>
    </row>
    <row r="19" spans="1:18" ht="17.399999999999999" customHeight="1" x14ac:dyDescent="0.3">
      <c r="A19" s="17">
        <v>2</v>
      </c>
      <c r="B19" s="27" t="s">
        <v>129</v>
      </c>
      <c r="C19" s="66" t="s">
        <v>517</v>
      </c>
      <c r="D19"/>
      <c r="E19"/>
      <c r="G19"/>
      <c r="H19"/>
      <c r="I19"/>
      <c r="J19"/>
      <c r="O19"/>
      <c r="P19"/>
      <c r="Q19"/>
      <c r="R19"/>
    </row>
    <row r="20" spans="1:18" ht="17.399999999999999" customHeight="1" x14ac:dyDescent="0.3">
      <c r="A20" s="17">
        <v>2</v>
      </c>
      <c r="B20" s="27" t="s">
        <v>130</v>
      </c>
      <c r="C20" s="66" t="s">
        <v>518</v>
      </c>
      <c r="D20"/>
      <c r="E20"/>
      <c r="G20"/>
      <c r="H20"/>
      <c r="I20"/>
      <c r="J20"/>
      <c r="O20"/>
      <c r="P20"/>
      <c r="Q20"/>
      <c r="R20"/>
    </row>
    <row r="21" spans="1:18" ht="17.399999999999999" customHeight="1" x14ac:dyDescent="0.3">
      <c r="A21" s="17">
        <v>2</v>
      </c>
      <c r="B21" s="27" t="s">
        <v>131</v>
      </c>
      <c r="C21" s="66" t="s">
        <v>519</v>
      </c>
      <c r="D21"/>
      <c r="E21"/>
      <c r="G21"/>
      <c r="H21"/>
      <c r="I21"/>
      <c r="J21"/>
      <c r="O21"/>
      <c r="P21"/>
      <c r="Q21"/>
      <c r="R21"/>
    </row>
    <row r="22" spans="1:18" ht="17.399999999999999" customHeight="1" x14ac:dyDescent="0.3">
      <c r="A22" s="17">
        <v>2</v>
      </c>
      <c r="B22" s="27" t="s">
        <v>132</v>
      </c>
      <c r="C22" s="66" t="s">
        <v>520</v>
      </c>
      <c r="D22"/>
      <c r="E22"/>
      <c r="G22"/>
      <c r="H22"/>
      <c r="I22"/>
      <c r="J22"/>
      <c r="O22"/>
      <c r="P22"/>
      <c r="Q22"/>
      <c r="R22"/>
    </row>
    <row r="23" spans="1:18" ht="17.399999999999999" customHeight="1" x14ac:dyDescent="0.3">
      <c r="A23" s="17">
        <v>2</v>
      </c>
      <c r="B23" s="27" t="s">
        <v>133</v>
      </c>
      <c r="C23" s="66" t="s">
        <v>521</v>
      </c>
      <c r="D23"/>
      <c r="E23"/>
      <c r="G23"/>
      <c r="H23"/>
      <c r="I23"/>
      <c r="J23"/>
      <c r="O23"/>
      <c r="P23"/>
      <c r="Q23"/>
      <c r="R23"/>
    </row>
    <row r="24" spans="1:18" ht="17.399999999999999" customHeight="1" x14ac:dyDescent="0.3">
      <c r="A24" s="17">
        <v>2</v>
      </c>
      <c r="B24" s="27" t="s">
        <v>134</v>
      </c>
      <c r="C24" s="66" t="s">
        <v>522</v>
      </c>
      <c r="D24"/>
      <c r="E24"/>
      <c r="G24"/>
      <c r="H24"/>
      <c r="I24"/>
      <c r="J24"/>
      <c r="O24"/>
      <c r="P24"/>
      <c r="Q24"/>
      <c r="R24"/>
    </row>
    <row r="25" spans="1:18" ht="17.399999999999999" customHeight="1" x14ac:dyDescent="0.3">
      <c r="A25" s="17">
        <v>2</v>
      </c>
      <c r="B25" s="27" t="s">
        <v>135</v>
      </c>
      <c r="C25" s="66" t="s">
        <v>523</v>
      </c>
      <c r="D25"/>
      <c r="E25"/>
      <c r="G25"/>
      <c r="H25"/>
      <c r="I25"/>
      <c r="J25"/>
      <c r="O25"/>
      <c r="P25"/>
      <c r="Q25"/>
      <c r="R25"/>
    </row>
    <row r="26" spans="1:18" ht="17.399999999999999" customHeight="1" x14ac:dyDescent="0.3">
      <c r="A26" s="17">
        <v>2</v>
      </c>
      <c r="B26" s="27" t="s">
        <v>136</v>
      </c>
      <c r="C26" s="66" t="s">
        <v>524</v>
      </c>
      <c r="D26"/>
      <c r="E26"/>
      <c r="G26"/>
      <c r="H26"/>
      <c r="I26"/>
      <c r="J26"/>
      <c r="O26"/>
      <c r="P26"/>
      <c r="Q26"/>
      <c r="R26"/>
    </row>
    <row r="27" spans="1:18" ht="17.399999999999999" customHeight="1" x14ac:dyDescent="0.3">
      <c r="A27" s="17">
        <v>2</v>
      </c>
      <c r="B27" s="27" t="s">
        <v>137</v>
      </c>
      <c r="C27" s="66" t="s">
        <v>525</v>
      </c>
      <c r="D27"/>
      <c r="E27"/>
      <c r="G27"/>
      <c r="H27"/>
      <c r="I27"/>
      <c r="J27"/>
      <c r="O27"/>
      <c r="P27"/>
      <c r="Q27"/>
      <c r="R27"/>
    </row>
    <row r="28" spans="1:18" ht="17.399999999999999" customHeight="1" x14ac:dyDescent="0.3">
      <c r="A28" s="17">
        <v>2</v>
      </c>
      <c r="B28" s="27" t="s">
        <v>138</v>
      </c>
      <c r="C28" s="66" t="s">
        <v>526</v>
      </c>
      <c r="D28"/>
      <c r="E28"/>
      <c r="G28"/>
      <c r="H28"/>
      <c r="I28"/>
      <c r="J28"/>
      <c r="O28"/>
      <c r="P28"/>
      <c r="Q28"/>
      <c r="R28"/>
    </row>
    <row r="29" spans="1:18" ht="17.399999999999999" customHeight="1" x14ac:dyDescent="0.3">
      <c r="A29" s="17">
        <v>3</v>
      </c>
      <c r="B29" s="27" t="s">
        <v>153</v>
      </c>
      <c r="C29" s="66" t="s">
        <v>527</v>
      </c>
    </row>
    <row r="30" spans="1:18" ht="17.399999999999999" customHeight="1" x14ac:dyDescent="0.3">
      <c r="A30" s="17">
        <v>3</v>
      </c>
      <c r="B30" s="27" t="s">
        <v>154</v>
      </c>
      <c r="C30" s="66" t="s">
        <v>528</v>
      </c>
      <c r="D30"/>
      <c r="E30"/>
      <c r="G30"/>
      <c r="H30"/>
      <c r="I30"/>
      <c r="J30"/>
      <c r="O30"/>
      <c r="P30"/>
      <c r="Q30"/>
      <c r="R30"/>
    </row>
    <row r="31" spans="1:18" ht="17.399999999999999" customHeight="1" x14ac:dyDescent="0.3">
      <c r="A31" s="17">
        <v>3</v>
      </c>
      <c r="B31" s="27" t="s">
        <v>154</v>
      </c>
      <c r="C31" s="66" t="s">
        <v>529</v>
      </c>
      <c r="D31"/>
      <c r="E31"/>
      <c r="G31"/>
      <c r="H31"/>
      <c r="I31"/>
      <c r="J31"/>
      <c r="O31"/>
      <c r="P31"/>
      <c r="Q31"/>
      <c r="R31"/>
    </row>
    <row r="32" spans="1:18" ht="17.399999999999999" customHeight="1" x14ac:dyDescent="0.3">
      <c r="A32" s="17">
        <v>3</v>
      </c>
      <c r="B32" s="27" t="s">
        <v>155</v>
      </c>
      <c r="C32" s="66" t="s">
        <v>530</v>
      </c>
      <c r="D32"/>
      <c r="E32"/>
      <c r="G32"/>
      <c r="H32"/>
      <c r="I32"/>
      <c r="J32"/>
      <c r="O32"/>
      <c r="P32"/>
      <c r="Q32"/>
      <c r="R32"/>
    </row>
    <row r="33" spans="1:18" ht="17.399999999999999" customHeight="1" x14ac:dyDescent="0.3">
      <c r="A33" s="17">
        <v>3</v>
      </c>
      <c r="B33" s="27" t="s">
        <v>156</v>
      </c>
      <c r="C33" s="66" t="s">
        <v>531</v>
      </c>
      <c r="D33"/>
      <c r="E33"/>
      <c r="G33"/>
      <c r="H33"/>
      <c r="I33"/>
      <c r="J33"/>
      <c r="O33"/>
      <c r="P33"/>
      <c r="Q33"/>
      <c r="R33"/>
    </row>
    <row r="34" spans="1:18" ht="17.399999999999999" customHeight="1" x14ac:dyDescent="0.3">
      <c r="A34" s="17">
        <v>3</v>
      </c>
      <c r="B34" s="27" t="s">
        <v>157</v>
      </c>
      <c r="C34" s="66" t="s">
        <v>532</v>
      </c>
    </row>
    <row r="35" spans="1:18" ht="17.399999999999999" customHeight="1" x14ac:dyDescent="0.3">
      <c r="A35" s="17">
        <v>3</v>
      </c>
      <c r="B35" s="27" t="s">
        <v>158</v>
      </c>
      <c r="C35" s="66" t="s">
        <v>533</v>
      </c>
    </row>
    <row r="36" spans="1:18" ht="17.399999999999999" customHeight="1" x14ac:dyDescent="0.3">
      <c r="A36" s="17">
        <v>3</v>
      </c>
      <c r="B36" s="27" t="s">
        <v>159</v>
      </c>
      <c r="C36" s="66" t="s">
        <v>534</v>
      </c>
    </row>
    <row r="37" spans="1:18" ht="17.399999999999999" customHeight="1" x14ac:dyDescent="0.3">
      <c r="A37" s="17">
        <v>4</v>
      </c>
      <c r="B37" s="27" t="s">
        <v>160</v>
      </c>
      <c r="C37" s="66" t="s">
        <v>535</v>
      </c>
      <c r="D37" s="17" t="s">
        <v>686</v>
      </c>
      <c r="H37"/>
    </row>
    <row r="38" spans="1:18" ht="17.399999999999999" customHeight="1" x14ac:dyDescent="0.3">
      <c r="A38" s="17">
        <v>4</v>
      </c>
      <c r="B38" s="27" t="s">
        <v>161</v>
      </c>
      <c r="C38" s="66" t="s">
        <v>536</v>
      </c>
      <c r="D38" s="17" t="s">
        <v>686</v>
      </c>
    </row>
    <row r="39" spans="1:18" ht="17.399999999999999" customHeight="1" x14ac:dyDescent="0.3">
      <c r="A39" s="17">
        <v>4</v>
      </c>
      <c r="B39" s="27" t="s">
        <v>162</v>
      </c>
      <c r="C39" s="66" t="s">
        <v>537</v>
      </c>
      <c r="D39" s="17" t="s">
        <v>686</v>
      </c>
    </row>
    <row r="40" spans="1:18" ht="17.399999999999999" customHeight="1" x14ac:dyDescent="0.3">
      <c r="A40" s="17">
        <v>4</v>
      </c>
      <c r="B40" s="27" t="s">
        <v>163</v>
      </c>
      <c r="C40" s="66" t="s">
        <v>538</v>
      </c>
      <c r="D40" s="17" t="s">
        <v>686</v>
      </c>
    </row>
    <row r="41" spans="1:18" ht="17.399999999999999" customHeight="1" x14ac:dyDescent="0.3">
      <c r="A41" s="17">
        <v>4</v>
      </c>
      <c r="B41" s="27" t="s">
        <v>164</v>
      </c>
      <c r="C41" s="66" t="s">
        <v>539</v>
      </c>
      <c r="D41" s="17" t="s">
        <v>686</v>
      </c>
    </row>
    <row r="42" spans="1:18" ht="17.399999999999999" customHeight="1" x14ac:dyDescent="0.3">
      <c r="A42" s="17">
        <v>4</v>
      </c>
      <c r="B42" s="27" t="s">
        <v>165</v>
      </c>
      <c r="C42" s="66" t="s">
        <v>540</v>
      </c>
      <c r="D42" s="17" t="s">
        <v>687</v>
      </c>
    </row>
    <row r="43" spans="1:18" ht="17.399999999999999" customHeight="1" x14ac:dyDescent="0.3">
      <c r="A43" s="17">
        <v>4</v>
      </c>
      <c r="B43" s="27" t="s">
        <v>166</v>
      </c>
      <c r="C43" s="66" t="s">
        <v>541</v>
      </c>
      <c r="D43" s="17" t="s">
        <v>687</v>
      </c>
    </row>
    <row r="44" spans="1:18" ht="17.399999999999999" customHeight="1" x14ac:dyDescent="0.3">
      <c r="A44" s="17">
        <v>4</v>
      </c>
      <c r="B44" s="27" t="s">
        <v>167</v>
      </c>
      <c r="C44" s="66" t="s">
        <v>542</v>
      </c>
      <c r="D44" s="17" t="s">
        <v>687</v>
      </c>
    </row>
    <row r="45" spans="1:18" ht="17.399999999999999" customHeight="1" x14ac:dyDescent="0.3">
      <c r="A45" s="17">
        <v>4</v>
      </c>
      <c r="B45" s="27" t="s">
        <v>168</v>
      </c>
      <c r="C45" s="66" t="s">
        <v>543</v>
      </c>
      <c r="D45" s="17" t="s">
        <v>687</v>
      </c>
    </row>
    <row r="46" spans="1:18" ht="17.399999999999999" customHeight="1" x14ac:dyDescent="0.3">
      <c r="A46" s="17">
        <v>4</v>
      </c>
      <c r="B46" s="27" t="s">
        <v>169</v>
      </c>
      <c r="C46" s="66" t="s">
        <v>544</v>
      </c>
      <c r="D46" s="17" t="s">
        <v>687</v>
      </c>
    </row>
    <row r="47" spans="1:18" ht="17.399999999999999" customHeight="1" x14ac:dyDescent="0.3">
      <c r="A47" s="17">
        <v>4</v>
      </c>
      <c r="B47" s="57" t="s">
        <v>170</v>
      </c>
      <c r="C47" s="66" t="s">
        <v>545</v>
      </c>
      <c r="D47" s="17" t="s">
        <v>687</v>
      </c>
    </row>
    <row r="48" spans="1:18" ht="17.399999999999999" customHeight="1" x14ac:dyDescent="0.3">
      <c r="A48" s="17">
        <v>4</v>
      </c>
      <c r="B48" s="27" t="s">
        <v>171</v>
      </c>
      <c r="C48" s="66" t="s">
        <v>546</v>
      </c>
      <c r="D48" s="17" t="s">
        <v>687</v>
      </c>
    </row>
    <row r="49" spans="1:6" ht="17.399999999999999" customHeight="1" x14ac:dyDescent="0.3">
      <c r="A49" s="17">
        <v>4</v>
      </c>
      <c r="B49" s="27" t="s">
        <v>172</v>
      </c>
      <c r="C49" s="66" t="s">
        <v>547</v>
      </c>
      <c r="D49" s="17" t="s">
        <v>687</v>
      </c>
    </row>
    <row r="50" spans="1:6" ht="17.399999999999999" customHeight="1" x14ac:dyDescent="0.3">
      <c r="A50" s="17">
        <v>4</v>
      </c>
      <c r="B50" s="27" t="s">
        <v>173</v>
      </c>
      <c r="C50" s="66" t="s">
        <v>548</v>
      </c>
      <c r="D50" s="17" t="s">
        <v>688</v>
      </c>
    </row>
    <row r="51" spans="1:6" ht="17.399999999999999" customHeight="1" x14ac:dyDescent="0.3">
      <c r="A51" s="17">
        <v>4</v>
      </c>
      <c r="B51" s="27" t="s">
        <v>174</v>
      </c>
      <c r="C51" s="66" t="s">
        <v>549</v>
      </c>
      <c r="D51" s="17" t="s">
        <v>689</v>
      </c>
    </row>
    <row r="52" spans="1:6" ht="17.399999999999999" customHeight="1" x14ac:dyDescent="0.3">
      <c r="A52" s="17">
        <v>4</v>
      </c>
      <c r="B52" s="27" t="s">
        <v>175</v>
      </c>
      <c r="C52" s="66" t="s">
        <v>550</v>
      </c>
      <c r="D52" s="17" t="s">
        <v>689</v>
      </c>
    </row>
    <row r="53" spans="1:6" ht="17.399999999999999" customHeight="1" x14ac:dyDescent="0.3">
      <c r="A53" s="17">
        <v>4</v>
      </c>
      <c r="B53" s="27" t="s">
        <v>176</v>
      </c>
      <c r="C53" s="66" t="s">
        <v>551</v>
      </c>
      <c r="D53" s="17" t="s">
        <v>689</v>
      </c>
    </row>
    <row r="54" spans="1:6" ht="17.399999999999999" customHeight="1" x14ac:dyDescent="0.3">
      <c r="A54" s="17">
        <v>4</v>
      </c>
      <c r="B54" s="27" t="s">
        <v>177</v>
      </c>
      <c r="C54" s="66" t="s">
        <v>552</v>
      </c>
      <c r="D54" s="17" t="s">
        <v>689</v>
      </c>
    </row>
    <row r="55" spans="1:6" ht="17.399999999999999" customHeight="1" x14ac:dyDescent="0.3">
      <c r="A55" s="17">
        <v>4</v>
      </c>
      <c r="B55" s="27" t="s">
        <v>178</v>
      </c>
      <c r="C55" s="66" t="s">
        <v>553</v>
      </c>
      <c r="D55" s="17" t="s">
        <v>689</v>
      </c>
    </row>
    <row r="56" spans="1:6" ht="17.399999999999999" customHeight="1" x14ac:dyDescent="0.3">
      <c r="A56" s="17">
        <v>4</v>
      </c>
      <c r="B56" s="27" t="s">
        <v>179</v>
      </c>
      <c r="C56" s="66" t="s">
        <v>554</v>
      </c>
      <c r="D56" s="17" t="s">
        <v>689</v>
      </c>
    </row>
    <row r="57" spans="1:6" ht="17.399999999999999" customHeight="1" x14ac:dyDescent="0.3">
      <c r="A57" s="17">
        <v>4</v>
      </c>
      <c r="B57" s="27" t="s">
        <v>180</v>
      </c>
      <c r="C57" s="66" t="s">
        <v>555</v>
      </c>
      <c r="D57" s="17" t="s">
        <v>689</v>
      </c>
    </row>
    <row r="58" spans="1:6" ht="17.399999999999999" customHeight="1" x14ac:dyDescent="0.3">
      <c r="A58" s="17">
        <v>5</v>
      </c>
      <c r="B58" s="27" t="s">
        <v>185</v>
      </c>
      <c r="C58" s="66" t="s">
        <v>556</v>
      </c>
    </row>
    <row r="59" spans="1:6" ht="17.399999999999999" customHeight="1" x14ac:dyDescent="0.3">
      <c r="A59" s="17">
        <v>5</v>
      </c>
      <c r="B59" s="27" t="s">
        <v>181</v>
      </c>
      <c r="C59" s="66" t="s">
        <v>557</v>
      </c>
      <c r="D59"/>
      <c r="E59"/>
      <c r="F59"/>
    </row>
    <row r="60" spans="1:6" ht="17.399999999999999" customHeight="1" x14ac:dyDescent="0.3">
      <c r="A60" s="17">
        <v>5</v>
      </c>
      <c r="B60" s="27" t="s">
        <v>182</v>
      </c>
      <c r="C60" s="66" t="s">
        <v>558</v>
      </c>
      <c r="D60"/>
      <c r="E60"/>
      <c r="F60"/>
    </row>
    <row r="61" spans="1:6" ht="17.399999999999999" customHeight="1" x14ac:dyDescent="0.3">
      <c r="A61" s="17">
        <v>5</v>
      </c>
      <c r="B61" s="27" t="s">
        <v>183</v>
      </c>
      <c r="C61" s="66" t="s">
        <v>559</v>
      </c>
      <c r="D61"/>
      <c r="E61"/>
      <c r="F61"/>
    </row>
    <row r="62" spans="1:6" ht="17.399999999999999" customHeight="1" x14ac:dyDescent="0.3">
      <c r="A62" s="17">
        <v>5</v>
      </c>
      <c r="B62" s="27" t="s">
        <v>184</v>
      </c>
      <c r="C62" s="66" t="s">
        <v>560</v>
      </c>
      <c r="D62"/>
      <c r="E62"/>
      <c r="F62"/>
    </row>
    <row r="63" spans="1:6" ht="17.399999999999999" customHeight="1" x14ac:dyDescent="0.3">
      <c r="A63" s="17">
        <v>5</v>
      </c>
      <c r="B63" s="27" t="s">
        <v>115</v>
      </c>
      <c r="C63" s="66" t="s">
        <v>561</v>
      </c>
      <c r="D63"/>
      <c r="E63"/>
      <c r="F63"/>
    </row>
    <row r="64" spans="1:6" ht="17.399999999999999" customHeight="1" x14ac:dyDescent="0.3">
      <c r="A64" s="17">
        <v>5</v>
      </c>
      <c r="B64" s="27" t="s">
        <v>116</v>
      </c>
      <c r="C64" s="66" t="s">
        <v>562</v>
      </c>
      <c r="D64"/>
      <c r="E64"/>
      <c r="F64"/>
    </row>
    <row r="65" spans="1:6" ht="17.399999999999999" customHeight="1" x14ac:dyDescent="0.3">
      <c r="A65" s="17">
        <v>6</v>
      </c>
      <c r="B65" s="27" t="s">
        <v>187</v>
      </c>
      <c r="C65" s="66" t="s">
        <v>563</v>
      </c>
    </row>
    <row r="66" spans="1:6" ht="17.399999999999999" customHeight="1" x14ac:dyDescent="0.3">
      <c r="A66" s="17">
        <v>6</v>
      </c>
      <c r="B66" s="27" t="s">
        <v>186</v>
      </c>
      <c r="C66" s="66" t="s">
        <v>564</v>
      </c>
      <c r="D66"/>
      <c r="F66"/>
    </row>
    <row r="67" spans="1:6" ht="17.399999999999999" customHeight="1" x14ac:dyDescent="0.3">
      <c r="A67" s="17">
        <v>6</v>
      </c>
      <c r="B67" s="27" t="s">
        <v>188</v>
      </c>
      <c r="C67" s="66" t="s">
        <v>565</v>
      </c>
      <c r="D67"/>
      <c r="F67"/>
    </row>
    <row r="68" spans="1:6" ht="17.399999999999999" customHeight="1" x14ac:dyDescent="0.3">
      <c r="A68" s="17">
        <v>6</v>
      </c>
      <c r="B68" s="27" t="s">
        <v>189</v>
      </c>
      <c r="C68" s="66" t="s">
        <v>566</v>
      </c>
      <c r="D68"/>
      <c r="F68"/>
    </row>
    <row r="69" spans="1:6" ht="17.399999999999999" customHeight="1" x14ac:dyDescent="0.3">
      <c r="A69" s="17">
        <v>6</v>
      </c>
      <c r="B69" s="27" t="s">
        <v>190</v>
      </c>
      <c r="C69" s="66" t="s">
        <v>567</v>
      </c>
      <c r="D69"/>
      <c r="F69"/>
    </row>
    <row r="70" spans="1:6" ht="17.399999999999999" customHeight="1" x14ac:dyDescent="0.3">
      <c r="A70" s="17">
        <v>6</v>
      </c>
      <c r="B70" s="27" t="s">
        <v>191</v>
      </c>
      <c r="C70" s="66" t="s">
        <v>568</v>
      </c>
    </row>
    <row r="71" spans="1:6" ht="17.399999999999999" customHeight="1" x14ac:dyDescent="0.3">
      <c r="A71" s="17">
        <v>6</v>
      </c>
      <c r="B71" s="27" t="s">
        <v>192</v>
      </c>
      <c r="C71" s="66" t="s">
        <v>569</v>
      </c>
    </row>
    <row r="72" spans="1:6" ht="17.399999999999999" customHeight="1" x14ac:dyDescent="0.3">
      <c r="A72" s="17">
        <v>6</v>
      </c>
      <c r="B72" s="27" t="s">
        <v>193</v>
      </c>
      <c r="C72" s="66" t="s">
        <v>570</v>
      </c>
    </row>
    <row r="73" spans="1:6" ht="17.399999999999999" customHeight="1" x14ac:dyDescent="0.3">
      <c r="A73" s="17">
        <v>6</v>
      </c>
      <c r="B73" s="27" t="s">
        <v>194</v>
      </c>
      <c r="C73" s="66" t="s">
        <v>571</v>
      </c>
    </row>
    <row r="74" spans="1:6" ht="17.399999999999999" customHeight="1" x14ac:dyDescent="0.3">
      <c r="A74" s="17">
        <v>6</v>
      </c>
      <c r="B74" s="27" t="s">
        <v>195</v>
      </c>
      <c r="C74" s="66" t="s">
        <v>572</v>
      </c>
    </row>
    <row r="75" spans="1:6" ht="17.399999999999999" customHeight="1" x14ac:dyDescent="0.3">
      <c r="A75" s="17">
        <v>6</v>
      </c>
      <c r="B75" s="27" t="s">
        <v>196</v>
      </c>
      <c r="C75" s="66" t="s">
        <v>573</v>
      </c>
    </row>
    <row r="76" spans="1:6" ht="17.399999999999999" customHeight="1" x14ac:dyDescent="0.3">
      <c r="A76" s="17">
        <v>6</v>
      </c>
      <c r="B76" s="27" t="s">
        <v>197</v>
      </c>
      <c r="C76" s="66" t="s">
        <v>574</v>
      </c>
    </row>
    <row r="77" spans="1:6" ht="17.399999999999999" customHeight="1" x14ac:dyDescent="0.3">
      <c r="A77" s="17">
        <v>6</v>
      </c>
      <c r="B77" s="27" t="s">
        <v>198</v>
      </c>
      <c r="C77" s="66" t="s">
        <v>575</v>
      </c>
    </row>
    <row r="78" spans="1:6" ht="17.399999999999999" customHeight="1" x14ac:dyDescent="0.3">
      <c r="A78" s="17">
        <v>7</v>
      </c>
      <c r="B78" s="27" t="s">
        <v>199</v>
      </c>
      <c r="C78" s="66" t="s">
        <v>576</v>
      </c>
    </row>
    <row r="79" spans="1:6" ht="17.399999999999999" customHeight="1" x14ac:dyDescent="0.3">
      <c r="A79" s="17">
        <v>7</v>
      </c>
      <c r="B79" s="27" t="s">
        <v>201</v>
      </c>
      <c r="C79" s="66" t="s">
        <v>578</v>
      </c>
    </row>
    <row r="80" spans="1:6" ht="17.399999999999999" customHeight="1" x14ac:dyDescent="0.3">
      <c r="A80" s="17">
        <v>7</v>
      </c>
      <c r="B80" s="27" t="s">
        <v>200</v>
      </c>
      <c r="C80" s="66" t="s">
        <v>579</v>
      </c>
    </row>
    <row r="81" spans="1:28" ht="17.399999999999999" customHeight="1" x14ac:dyDescent="0.3">
      <c r="A81" s="17">
        <v>8</v>
      </c>
      <c r="B81" s="27" t="s">
        <v>202</v>
      </c>
      <c r="C81" s="66" t="s">
        <v>577</v>
      </c>
    </row>
    <row r="82" spans="1:28" ht="17.399999999999999" customHeight="1" x14ac:dyDescent="0.3">
      <c r="A82" s="17">
        <v>8</v>
      </c>
      <c r="B82" s="27" t="s">
        <v>203</v>
      </c>
      <c r="C82" s="66" t="s">
        <v>582</v>
      </c>
    </row>
    <row r="83" spans="1:28" ht="17.399999999999999" customHeight="1" x14ac:dyDescent="0.3">
      <c r="A83" s="17">
        <v>8</v>
      </c>
      <c r="B83" s="27" t="s">
        <v>204</v>
      </c>
      <c r="C83" s="66" t="s">
        <v>585</v>
      </c>
    </row>
    <row r="84" spans="1:28" ht="17.399999999999999" customHeight="1" x14ac:dyDescent="0.3">
      <c r="A84" s="17">
        <v>9</v>
      </c>
      <c r="B84" s="27" t="s">
        <v>205</v>
      </c>
      <c r="C84" s="66" t="s">
        <v>580</v>
      </c>
    </row>
    <row r="85" spans="1:28" ht="17.399999999999999" customHeight="1" x14ac:dyDescent="0.3">
      <c r="A85" s="17">
        <v>9</v>
      </c>
      <c r="B85" s="27" t="s">
        <v>206</v>
      </c>
      <c r="C85" s="66" t="s">
        <v>583</v>
      </c>
    </row>
    <row r="86" spans="1:28" ht="17.399999999999999" customHeight="1" x14ac:dyDescent="0.3">
      <c r="A86" s="17">
        <v>9</v>
      </c>
      <c r="B86" s="27" t="s">
        <v>207</v>
      </c>
      <c r="C86" s="66" t="s">
        <v>586</v>
      </c>
    </row>
    <row r="87" spans="1:28" ht="17.399999999999999" customHeight="1" x14ac:dyDescent="0.3">
      <c r="A87" s="17">
        <v>9</v>
      </c>
      <c r="B87" s="27" t="s">
        <v>208</v>
      </c>
      <c r="C87" s="66" t="s">
        <v>587</v>
      </c>
    </row>
    <row r="88" spans="1:28" ht="17.399999999999999" customHeight="1" x14ac:dyDescent="0.3">
      <c r="A88" s="17">
        <v>9</v>
      </c>
      <c r="B88" s="27" t="s">
        <v>209</v>
      </c>
      <c r="C88" s="66" t="s">
        <v>588</v>
      </c>
    </row>
    <row r="89" spans="1:28" ht="17.399999999999999" customHeight="1" x14ac:dyDescent="0.3">
      <c r="A89" s="17">
        <v>10</v>
      </c>
      <c r="B89" s="27" t="s">
        <v>210</v>
      </c>
      <c r="C89" s="66" t="s">
        <v>581</v>
      </c>
    </row>
    <row r="90" spans="1:28" ht="17.399999999999999" customHeight="1" x14ac:dyDescent="0.3">
      <c r="A90" s="17">
        <v>10</v>
      </c>
      <c r="B90" s="27" t="s">
        <v>211</v>
      </c>
      <c r="C90" s="66" t="s">
        <v>584</v>
      </c>
      <c r="D90"/>
      <c r="E90"/>
      <c r="F90"/>
      <c r="P90"/>
      <c r="Q90"/>
      <c r="R90"/>
      <c r="S90"/>
    </row>
    <row r="91" spans="1:28" ht="17.399999999999999" customHeight="1" x14ac:dyDescent="0.3">
      <c r="A91" s="17">
        <v>10</v>
      </c>
      <c r="B91" s="27" t="s">
        <v>212</v>
      </c>
      <c r="C91" s="66" t="s">
        <v>589</v>
      </c>
      <c r="D91"/>
      <c r="E91"/>
      <c r="F91"/>
      <c r="P91"/>
      <c r="Q91"/>
      <c r="R91"/>
      <c r="S91"/>
    </row>
    <row r="92" spans="1:28" ht="17.399999999999999" customHeight="1" x14ac:dyDescent="0.3">
      <c r="A92" s="17">
        <v>10</v>
      </c>
      <c r="B92" s="27" t="s">
        <v>213</v>
      </c>
      <c r="C92" s="66" t="s">
        <v>590</v>
      </c>
      <c r="D92"/>
      <c r="E92"/>
      <c r="F92"/>
      <c r="P92"/>
      <c r="Q92"/>
      <c r="R92"/>
      <c r="S92"/>
    </row>
    <row r="93" spans="1:28" ht="17.399999999999999" customHeight="1" x14ac:dyDescent="0.3">
      <c r="A93" s="17">
        <v>10</v>
      </c>
      <c r="B93" s="27" t="s">
        <v>214</v>
      </c>
      <c r="C93" s="66" t="s">
        <v>591</v>
      </c>
      <c r="D93"/>
      <c r="E93"/>
      <c r="F93"/>
      <c r="P93"/>
      <c r="Q93"/>
      <c r="R93"/>
      <c r="S93"/>
    </row>
    <row r="94" spans="1:28" ht="17.399999999999999" customHeight="1" x14ac:dyDescent="0.3">
      <c r="A94" s="17">
        <v>10</v>
      </c>
      <c r="B94" s="27" t="s">
        <v>215</v>
      </c>
      <c r="C94" s="66" t="s">
        <v>592</v>
      </c>
      <c r="D94"/>
      <c r="E94"/>
      <c r="F94"/>
      <c r="P94"/>
      <c r="Q94"/>
      <c r="R94"/>
      <c r="S94"/>
    </row>
    <row r="95" spans="1:28" ht="17.399999999999999" customHeight="1" x14ac:dyDescent="0.3">
      <c r="A95" s="17">
        <v>10</v>
      </c>
      <c r="B95" s="27" t="s">
        <v>216</v>
      </c>
      <c r="C95" s="66" t="s">
        <v>593</v>
      </c>
      <c r="D95"/>
      <c r="E95"/>
      <c r="F95"/>
      <c r="P95"/>
      <c r="Q95"/>
      <c r="R95"/>
      <c r="S95"/>
    </row>
    <row r="96" spans="1:28" s="27" customFormat="1" ht="33" customHeight="1" x14ac:dyDescent="0.3">
      <c r="A96" s="17">
        <v>10</v>
      </c>
      <c r="B96" s="27" t="s">
        <v>217</v>
      </c>
      <c r="C96" s="66" t="s">
        <v>594</v>
      </c>
      <c r="D96" s="64"/>
      <c r="E96" s="64"/>
      <c r="F96" s="64"/>
      <c r="N96" s="57"/>
      <c r="P96" s="64"/>
      <c r="Q96" s="64"/>
      <c r="R96" s="64"/>
      <c r="S96" s="64"/>
      <c r="AB96" s="58"/>
    </row>
    <row r="97" spans="1:28" ht="17.399999999999999" customHeight="1" x14ac:dyDescent="0.3">
      <c r="A97" s="17">
        <v>10</v>
      </c>
      <c r="B97" s="27" t="s">
        <v>218</v>
      </c>
      <c r="C97" s="66" t="s">
        <v>595</v>
      </c>
      <c r="D97"/>
      <c r="E97"/>
      <c r="F97"/>
      <c r="P97"/>
      <c r="Q97"/>
      <c r="R97"/>
      <c r="S97"/>
    </row>
    <row r="98" spans="1:28" ht="17.399999999999999" customHeight="1" x14ac:dyDescent="0.3">
      <c r="A98" s="17">
        <v>10</v>
      </c>
      <c r="B98" s="27" t="s">
        <v>219</v>
      </c>
      <c r="C98" s="66" t="s">
        <v>596</v>
      </c>
      <c r="D98"/>
      <c r="E98"/>
      <c r="F98"/>
      <c r="P98"/>
      <c r="Q98"/>
      <c r="R98"/>
      <c r="S98"/>
    </row>
    <row r="99" spans="1:28" ht="17.399999999999999" customHeight="1" x14ac:dyDescent="0.3">
      <c r="A99" s="17">
        <v>11</v>
      </c>
      <c r="B99" s="27" t="s">
        <v>220</v>
      </c>
      <c r="C99" s="66" t="s">
        <v>597</v>
      </c>
    </row>
    <row r="100" spans="1:28" ht="17.399999999999999" customHeight="1" x14ac:dyDescent="0.3">
      <c r="A100" s="17">
        <v>11</v>
      </c>
      <c r="B100" s="27" t="s">
        <v>221</v>
      </c>
      <c r="C100" s="66" t="s">
        <v>598</v>
      </c>
      <c r="D100"/>
      <c r="E100"/>
      <c r="F100"/>
      <c r="P100"/>
      <c r="Q100"/>
      <c r="R100"/>
      <c r="S100"/>
    </row>
    <row r="101" spans="1:28" s="27" customFormat="1" ht="33" customHeight="1" x14ac:dyDescent="0.3">
      <c r="A101" s="17">
        <v>11</v>
      </c>
      <c r="B101" s="27" t="s">
        <v>222</v>
      </c>
      <c r="C101" s="66" t="s">
        <v>599</v>
      </c>
      <c r="N101" s="57"/>
      <c r="AB101" s="58"/>
    </row>
    <row r="102" spans="1:28" ht="17.399999999999999" customHeight="1" x14ac:dyDescent="0.3">
      <c r="A102" s="17">
        <v>11</v>
      </c>
      <c r="B102" s="27" t="s">
        <v>223</v>
      </c>
      <c r="C102" s="66" t="s">
        <v>600</v>
      </c>
    </row>
    <row r="103" spans="1:28" ht="17.399999999999999" customHeight="1" x14ac:dyDescent="0.3">
      <c r="A103" s="17">
        <v>11</v>
      </c>
      <c r="B103" s="27" t="s">
        <v>224</v>
      </c>
      <c r="C103" s="66" t="s">
        <v>601</v>
      </c>
    </row>
    <row r="104" spans="1:28" ht="17.399999999999999" customHeight="1" x14ac:dyDescent="0.3">
      <c r="A104" s="17">
        <v>11</v>
      </c>
      <c r="B104" s="27" t="s">
        <v>225</v>
      </c>
      <c r="C104" s="66" t="s">
        <v>602</v>
      </c>
    </row>
    <row r="105" spans="1:28" ht="17.399999999999999" customHeight="1" x14ac:dyDescent="0.3">
      <c r="A105" s="17">
        <v>12</v>
      </c>
      <c r="B105" s="27" t="s">
        <v>226</v>
      </c>
      <c r="C105" s="66" t="s">
        <v>603</v>
      </c>
    </row>
    <row r="106" spans="1:28" ht="17.399999999999999" customHeight="1" x14ac:dyDescent="0.3">
      <c r="A106" s="17">
        <v>12</v>
      </c>
      <c r="B106" s="27" t="s">
        <v>227</v>
      </c>
      <c r="C106" s="66" t="s">
        <v>605</v>
      </c>
    </row>
    <row r="107" spans="1:28" ht="17.399999999999999" customHeight="1" x14ac:dyDescent="0.3">
      <c r="A107" s="17">
        <v>12</v>
      </c>
      <c r="B107" s="27" t="s">
        <v>228</v>
      </c>
      <c r="C107" s="66" t="s">
        <v>606</v>
      </c>
    </row>
    <row r="108" spans="1:28" ht="17.399999999999999" customHeight="1" x14ac:dyDescent="0.3">
      <c r="A108" s="17">
        <v>12</v>
      </c>
      <c r="B108" s="27" t="s">
        <v>229</v>
      </c>
      <c r="C108" s="66" t="s">
        <v>607</v>
      </c>
    </row>
    <row r="109" spans="1:28" ht="17.399999999999999" customHeight="1" x14ac:dyDescent="0.3">
      <c r="A109" s="17">
        <v>12</v>
      </c>
      <c r="B109" s="27" t="s">
        <v>230</v>
      </c>
      <c r="C109" s="66" t="s">
        <v>608</v>
      </c>
    </row>
    <row r="110" spans="1:28" s="27" customFormat="1" ht="33" customHeight="1" x14ac:dyDescent="0.3">
      <c r="A110" s="27">
        <v>13</v>
      </c>
      <c r="B110" s="27" t="s">
        <v>231</v>
      </c>
      <c r="C110" s="66" t="s">
        <v>604</v>
      </c>
      <c r="N110" s="57"/>
      <c r="AB110" s="58"/>
    </row>
    <row r="111" spans="1:28" ht="17.399999999999999" customHeight="1" x14ac:dyDescent="0.3">
      <c r="A111" s="27">
        <v>13</v>
      </c>
      <c r="B111" s="27" t="s">
        <v>232</v>
      </c>
      <c r="C111" s="66" t="s">
        <v>609</v>
      </c>
    </row>
    <row r="112" spans="1:28" ht="17.399999999999999" customHeight="1" x14ac:dyDescent="0.3">
      <c r="A112" s="27">
        <v>13</v>
      </c>
      <c r="B112" s="27" t="s">
        <v>233</v>
      </c>
      <c r="C112" s="66" t="s">
        <v>610</v>
      </c>
    </row>
    <row r="113" spans="1:28" ht="17.399999999999999" customHeight="1" x14ac:dyDescent="0.3">
      <c r="A113" s="27">
        <v>13</v>
      </c>
      <c r="B113" s="27" t="s">
        <v>234</v>
      </c>
      <c r="C113" s="66" t="s">
        <v>611</v>
      </c>
    </row>
    <row r="114" spans="1:28" ht="17.399999999999999" customHeight="1" x14ac:dyDescent="0.3">
      <c r="A114" s="27">
        <v>13</v>
      </c>
      <c r="B114" s="27" t="s">
        <v>235</v>
      </c>
      <c r="C114" s="66" t="s">
        <v>612</v>
      </c>
    </row>
    <row r="115" spans="1:28" ht="17.399999999999999" customHeight="1" x14ac:dyDescent="0.3">
      <c r="A115" s="27">
        <v>13</v>
      </c>
      <c r="B115" s="27" t="s">
        <v>236</v>
      </c>
      <c r="C115" s="66" t="s">
        <v>613</v>
      </c>
    </row>
    <row r="116" spans="1:28" ht="33" customHeight="1" x14ac:dyDescent="0.3">
      <c r="A116" s="27">
        <v>13</v>
      </c>
      <c r="B116" s="27" t="s">
        <v>237</v>
      </c>
      <c r="C116" s="66" t="s">
        <v>614</v>
      </c>
    </row>
    <row r="117" spans="1:28" ht="17.399999999999999" customHeight="1" x14ac:dyDescent="0.3">
      <c r="A117" s="27">
        <v>13</v>
      </c>
      <c r="B117" s="27" t="s">
        <v>238</v>
      </c>
      <c r="C117" s="66" t="s">
        <v>615</v>
      </c>
    </row>
    <row r="118" spans="1:28" ht="17.399999999999999" customHeight="1" x14ac:dyDescent="0.3">
      <c r="A118" s="27">
        <v>13</v>
      </c>
      <c r="B118" s="27" t="s">
        <v>239</v>
      </c>
      <c r="C118" s="66" t="s">
        <v>616</v>
      </c>
    </row>
    <row r="119" spans="1:28" ht="17.399999999999999" customHeight="1" x14ac:dyDescent="0.3">
      <c r="A119" s="17">
        <v>14</v>
      </c>
      <c r="B119" s="27" t="s">
        <v>240</v>
      </c>
      <c r="C119" s="66" t="s">
        <v>617</v>
      </c>
    </row>
    <row r="120" spans="1:28" s="27" customFormat="1" ht="33" customHeight="1" x14ac:dyDescent="0.3">
      <c r="A120" s="17">
        <v>14</v>
      </c>
      <c r="B120" s="27" t="s">
        <v>241</v>
      </c>
      <c r="C120" s="66" t="s">
        <v>618</v>
      </c>
      <c r="N120" s="57"/>
      <c r="AB120" s="58"/>
    </row>
    <row r="121" spans="1:28" ht="17.399999999999999" customHeight="1" x14ac:dyDescent="0.3">
      <c r="A121" s="17">
        <v>14</v>
      </c>
      <c r="B121" s="27" t="s">
        <v>242</v>
      </c>
      <c r="C121" s="66" t="s">
        <v>619</v>
      </c>
    </row>
    <row r="122" spans="1:28" ht="17.399999999999999" customHeight="1" x14ac:dyDescent="0.3">
      <c r="A122" s="17">
        <v>14</v>
      </c>
      <c r="B122" s="27" t="s">
        <v>243</v>
      </c>
      <c r="C122" s="66" t="s">
        <v>620</v>
      </c>
    </row>
    <row r="123" spans="1:28" s="27" customFormat="1" ht="33" customHeight="1" x14ac:dyDescent="0.3">
      <c r="A123" s="17">
        <v>14</v>
      </c>
      <c r="B123" s="27" t="s">
        <v>244</v>
      </c>
      <c r="C123" s="66" t="s">
        <v>621</v>
      </c>
      <c r="N123" s="57"/>
      <c r="AB123" s="58"/>
    </row>
    <row r="124" spans="1:28" ht="17.399999999999999" customHeight="1" x14ac:dyDescent="0.3">
      <c r="A124" s="17">
        <v>15</v>
      </c>
      <c r="B124" s="27" t="s">
        <v>245</v>
      </c>
      <c r="C124" s="66" t="s">
        <v>622</v>
      </c>
    </row>
    <row r="125" spans="1:28" ht="17.399999999999999" customHeight="1" x14ac:dyDescent="0.3">
      <c r="A125" s="17">
        <v>15</v>
      </c>
      <c r="B125" s="27" t="s">
        <v>246</v>
      </c>
      <c r="C125" s="66" t="s">
        <v>623</v>
      </c>
      <c r="D125"/>
      <c r="E125"/>
      <c r="F125"/>
      <c r="G125"/>
    </row>
    <row r="126" spans="1:28" ht="17.399999999999999" customHeight="1" x14ac:dyDescent="0.3">
      <c r="A126" s="17">
        <v>15</v>
      </c>
      <c r="B126" s="27" t="s">
        <v>247</v>
      </c>
      <c r="C126" s="66" t="s">
        <v>624</v>
      </c>
      <c r="D126"/>
      <c r="E126"/>
      <c r="F126"/>
      <c r="G126"/>
    </row>
    <row r="127" spans="1:28" ht="17.399999999999999" customHeight="1" x14ac:dyDescent="0.3">
      <c r="A127" s="17">
        <v>15</v>
      </c>
      <c r="B127" s="27" t="s">
        <v>248</v>
      </c>
      <c r="C127" s="66" t="s">
        <v>625</v>
      </c>
      <c r="D127"/>
      <c r="E127"/>
      <c r="F127"/>
      <c r="G127"/>
    </row>
    <row r="128" spans="1:28" ht="17.399999999999999" customHeight="1" x14ac:dyDescent="0.3">
      <c r="A128" s="17">
        <v>15</v>
      </c>
      <c r="B128" s="27" t="s">
        <v>249</v>
      </c>
      <c r="C128" s="66" t="s">
        <v>626</v>
      </c>
      <c r="D128"/>
      <c r="E128"/>
      <c r="F128"/>
      <c r="G128"/>
    </row>
    <row r="129" spans="1:28" ht="17.399999999999999" customHeight="1" x14ac:dyDescent="0.3">
      <c r="A129" s="17">
        <v>15</v>
      </c>
      <c r="B129" s="27" t="s">
        <v>250</v>
      </c>
      <c r="C129" s="66" t="s">
        <v>627</v>
      </c>
      <c r="D129"/>
      <c r="E129"/>
      <c r="F129"/>
      <c r="G129"/>
    </row>
    <row r="130" spans="1:28" ht="17.399999999999999" customHeight="1" x14ac:dyDescent="0.3">
      <c r="A130" s="17">
        <v>16</v>
      </c>
      <c r="B130" s="27" t="s">
        <v>251</v>
      </c>
      <c r="C130" s="66" t="s">
        <v>628</v>
      </c>
      <c r="D130" s="17" t="s">
        <v>681</v>
      </c>
    </row>
    <row r="131" spans="1:28" ht="17.399999999999999" customHeight="1" x14ac:dyDescent="0.3">
      <c r="A131" s="17">
        <v>16</v>
      </c>
      <c r="B131" s="27" t="s">
        <v>252</v>
      </c>
      <c r="C131" s="66" t="s">
        <v>629</v>
      </c>
      <c r="D131" t="s">
        <v>681</v>
      </c>
      <c r="E131"/>
      <c r="F131"/>
      <c r="H131"/>
      <c r="I131"/>
      <c r="J131"/>
      <c r="K131"/>
      <c r="L131"/>
      <c r="M131"/>
      <c r="P131"/>
      <c r="Q131"/>
      <c r="R131"/>
      <c r="T131"/>
      <c r="U131"/>
      <c r="V131"/>
      <c r="W131"/>
      <c r="Y131"/>
      <c r="Z131"/>
      <c r="AA131"/>
    </row>
    <row r="132" spans="1:28" ht="17.399999999999999" customHeight="1" x14ac:dyDescent="0.3">
      <c r="A132" s="17">
        <v>16</v>
      </c>
      <c r="B132" s="27" t="s">
        <v>253</v>
      </c>
      <c r="C132" s="66" t="s">
        <v>630</v>
      </c>
      <c r="D132" t="s">
        <v>681</v>
      </c>
      <c r="E132"/>
      <c r="F132"/>
      <c r="H132"/>
      <c r="I132"/>
      <c r="J132"/>
      <c r="K132"/>
      <c r="L132"/>
      <c r="M132"/>
      <c r="P132"/>
      <c r="Q132"/>
      <c r="R132"/>
      <c r="T132"/>
      <c r="U132"/>
      <c r="V132"/>
      <c r="W132"/>
      <c r="Y132"/>
      <c r="Z132"/>
      <c r="AA132"/>
    </row>
    <row r="133" spans="1:28" ht="17.399999999999999" customHeight="1" x14ac:dyDescent="0.3">
      <c r="A133" s="17">
        <v>16</v>
      </c>
      <c r="B133" s="27" t="s">
        <v>254</v>
      </c>
      <c r="C133" s="66" t="s">
        <v>631</v>
      </c>
      <c r="D133" t="s">
        <v>681</v>
      </c>
      <c r="E133"/>
      <c r="F133"/>
      <c r="H133"/>
      <c r="I133"/>
      <c r="J133"/>
      <c r="K133"/>
      <c r="L133"/>
      <c r="M133"/>
      <c r="P133"/>
      <c r="Q133"/>
      <c r="R133"/>
      <c r="T133"/>
      <c r="U133"/>
      <c r="V133"/>
      <c r="W133"/>
      <c r="Y133"/>
      <c r="Z133"/>
      <c r="AA133"/>
    </row>
    <row r="134" spans="1:28" ht="17.399999999999999" customHeight="1" x14ac:dyDescent="0.3">
      <c r="A134" s="17">
        <v>16</v>
      </c>
      <c r="B134" s="27" t="s">
        <v>255</v>
      </c>
      <c r="C134" s="66" t="s">
        <v>632</v>
      </c>
      <c r="D134" t="s">
        <v>682</v>
      </c>
      <c r="E134"/>
      <c r="F134"/>
      <c r="H134"/>
      <c r="I134"/>
      <c r="J134"/>
      <c r="K134"/>
      <c r="L134"/>
      <c r="M134"/>
      <c r="P134"/>
      <c r="Q134"/>
      <c r="R134"/>
      <c r="T134"/>
      <c r="U134"/>
      <c r="V134"/>
      <c r="W134"/>
      <c r="Y134"/>
      <c r="Z134"/>
      <c r="AA134"/>
    </row>
    <row r="135" spans="1:28" ht="17.399999999999999" customHeight="1" x14ac:dyDescent="0.3">
      <c r="A135" s="17">
        <v>16</v>
      </c>
      <c r="B135" s="27" t="s">
        <v>256</v>
      </c>
      <c r="C135" s="66" t="s">
        <v>633</v>
      </c>
      <c r="D135" t="s">
        <v>682</v>
      </c>
      <c r="E135"/>
      <c r="F135"/>
      <c r="H135"/>
      <c r="I135"/>
      <c r="J135"/>
      <c r="K135"/>
      <c r="L135"/>
      <c r="M135"/>
      <c r="P135"/>
      <c r="Q135"/>
      <c r="R135"/>
      <c r="T135"/>
      <c r="U135"/>
      <c r="V135"/>
      <c r="W135"/>
      <c r="Y135"/>
      <c r="Z135"/>
      <c r="AA135"/>
    </row>
    <row r="136" spans="1:28" ht="17.399999999999999" customHeight="1" x14ac:dyDescent="0.3">
      <c r="A136" s="17">
        <v>16</v>
      </c>
      <c r="B136" s="27" t="s">
        <v>257</v>
      </c>
      <c r="C136" s="66" t="s">
        <v>634</v>
      </c>
      <c r="D136" t="s">
        <v>682</v>
      </c>
      <c r="E136"/>
      <c r="F136"/>
      <c r="H136"/>
      <c r="I136"/>
      <c r="J136"/>
      <c r="K136"/>
      <c r="L136"/>
      <c r="M136"/>
      <c r="P136"/>
      <c r="Q136"/>
      <c r="R136"/>
      <c r="T136"/>
      <c r="U136"/>
      <c r="V136"/>
      <c r="W136"/>
      <c r="Y136"/>
      <c r="Z136"/>
      <c r="AA136"/>
    </row>
    <row r="137" spans="1:28" ht="17.399999999999999" customHeight="1" x14ac:dyDescent="0.3">
      <c r="A137" s="17">
        <v>16</v>
      </c>
      <c r="B137" s="27" t="s">
        <v>258</v>
      </c>
      <c r="C137" s="66" t="s">
        <v>635</v>
      </c>
      <c r="D137" t="s">
        <v>682</v>
      </c>
      <c r="L137"/>
      <c r="M137"/>
      <c r="P137"/>
      <c r="Q137"/>
      <c r="R137"/>
      <c r="T137"/>
      <c r="U137"/>
      <c r="V137"/>
      <c r="W137"/>
      <c r="Y137"/>
      <c r="Z137"/>
      <c r="AA137"/>
    </row>
    <row r="138" spans="1:28" ht="17.399999999999999" customHeight="1" x14ac:dyDescent="0.3">
      <c r="A138" s="17">
        <v>16</v>
      </c>
      <c r="B138" s="27" t="s">
        <v>259</v>
      </c>
      <c r="C138" s="66" t="s">
        <v>636</v>
      </c>
      <c r="D138" t="s">
        <v>682</v>
      </c>
      <c r="E138"/>
      <c r="F138"/>
      <c r="H138"/>
      <c r="I138"/>
      <c r="J138"/>
      <c r="K138"/>
      <c r="L138"/>
      <c r="M138"/>
      <c r="P138"/>
      <c r="Q138"/>
      <c r="R138"/>
      <c r="T138"/>
      <c r="U138"/>
      <c r="V138"/>
      <c r="W138"/>
      <c r="Y138"/>
      <c r="Z138"/>
      <c r="AA138"/>
    </row>
    <row r="139" spans="1:28" ht="17.399999999999999" customHeight="1" x14ac:dyDescent="0.3">
      <c r="A139" s="17">
        <v>16</v>
      </c>
      <c r="B139" s="27" t="s">
        <v>260</v>
      </c>
      <c r="C139" s="66" t="s">
        <v>637</v>
      </c>
      <c r="D139" t="s">
        <v>682</v>
      </c>
      <c r="E139"/>
      <c r="F139"/>
      <c r="H139"/>
      <c r="I139"/>
      <c r="J139"/>
      <c r="K139"/>
      <c r="L139"/>
      <c r="M139"/>
      <c r="P139"/>
      <c r="Q139"/>
      <c r="R139"/>
      <c r="T139"/>
      <c r="U139"/>
      <c r="V139"/>
      <c r="W139"/>
      <c r="Y139"/>
      <c r="Z139"/>
      <c r="AA139"/>
    </row>
    <row r="140" spans="1:28" s="27" customFormat="1" ht="49.95" customHeight="1" x14ac:dyDescent="0.3">
      <c r="A140" s="17">
        <v>16</v>
      </c>
      <c r="B140" s="27" t="s">
        <v>261</v>
      </c>
      <c r="C140" s="66" t="s">
        <v>638</v>
      </c>
      <c r="D140" s="64" t="s">
        <v>683</v>
      </c>
      <c r="E140" s="64"/>
      <c r="F140" s="64"/>
      <c r="H140" s="64"/>
      <c r="I140" s="64"/>
      <c r="J140" s="64"/>
      <c r="K140" s="64"/>
      <c r="L140" s="64"/>
      <c r="M140" s="64"/>
      <c r="N140" s="57"/>
      <c r="P140" s="64"/>
      <c r="Q140" s="64"/>
      <c r="R140" s="64"/>
      <c r="T140" s="64"/>
      <c r="U140" s="64"/>
      <c r="V140" s="64"/>
      <c r="W140" s="64"/>
      <c r="Y140" s="64"/>
      <c r="Z140" s="64"/>
      <c r="AA140" s="64"/>
      <c r="AB140" s="58"/>
    </row>
    <row r="141" spans="1:28" ht="17.399999999999999" customHeight="1" x14ac:dyDescent="0.3">
      <c r="A141" s="17">
        <v>16</v>
      </c>
      <c r="B141" s="27" t="s">
        <v>262</v>
      </c>
      <c r="C141" s="66" t="s">
        <v>639</v>
      </c>
      <c r="D141" s="64" t="s">
        <v>683</v>
      </c>
      <c r="E141"/>
      <c r="F141"/>
      <c r="H141"/>
      <c r="I141"/>
      <c r="J141"/>
      <c r="K141"/>
      <c r="L141"/>
      <c r="M141"/>
      <c r="P141"/>
      <c r="Q141"/>
      <c r="R141"/>
      <c r="T141"/>
      <c r="U141"/>
      <c r="V141"/>
      <c r="W141"/>
      <c r="Y141"/>
      <c r="Z141"/>
      <c r="AA141"/>
    </row>
    <row r="142" spans="1:28" ht="17.399999999999999" customHeight="1" x14ac:dyDescent="0.3">
      <c r="A142" s="17">
        <v>16</v>
      </c>
      <c r="B142" s="27" t="s">
        <v>263</v>
      </c>
      <c r="C142" s="66" t="s">
        <v>640</v>
      </c>
      <c r="D142" s="64" t="s">
        <v>683</v>
      </c>
      <c r="E142"/>
      <c r="F142"/>
      <c r="H142"/>
      <c r="I142"/>
      <c r="J142"/>
      <c r="K142"/>
      <c r="L142"/>
      <c r="M142"/>
      <c r="P142"/>
      <c r="Q142"/>
      <c r="R142"/>
      <c r="T142"/>
      <c r="U142"/>
      <c r="V142"/>
      <c r="W142"/>
      <c r="Y142"/>
      <c r="Z142"/>
      <c r="AA142"/>
    </row>
    <row r="143" spans="1:28" ht="17.399999999999999" customHeight="1" x14ac:dyDescent="0.3">
      <c r="A143" s="17">
        <v>16</v>
      </c>
      <c r="B143" s="27" t="s">
        <v>264</v>
      </c>
      <c r="C143" s="66" t="s">
        <v>641</v>
      </c>
      <c r="D143" t="s">
        <v>684</v>
      </c>
      <c r="E143"/>
      <c r="F143"/>
      <c r="H143"/>
      <c r="I143"/>
      <c r="J143"/>
      <c r="K143"/>
      <c r="L143"/>
      <c r="M143"/>
      <c r="P143"/>
      <c r="Q143"/>
      <c r="R143"/>
      <c r="T143"/>
      <c r="U143"/>
      <c r="V143"/>
      <c r="W143"/>
      <c r="Y143"/>
      <c r="Z143"/>
      <c r="AA143"/>
    </row>
    <row r="144" spans="1:28" ht="17.399999999999999" customHeight="1" x14ac:dyDescent="0.3">
      <c r="A144" s="17">
        <v>16</v>
      </c>
      <c r="B144" s="27" t="s">
        <v>265</v>
      </c>
      <c r="C144" s="66" t="s">
        <v>642</v>
      </c>
      <c r="D144" t="s">
        <v>684</v>
      </c>
      <c r="E144"/>
      <c r="F144"/>
      <c r="H144"/>
      <c r="I144"/>
      <c r="J144"/>
      <c r="K144"/>
      <c r="L144"/>
      <c r="M144"/>
      <c r="P144"/>
      <c r="Q144"/>
      <c r="R144"/>
      <c r="T144"/>
      <c r="U144"/>
      <c r="V144"/>
      <c r="W144"/>
      <c r="Y144"/>
      <c r="Z144"/>
      <c r="AA144"/>
    </row>
    <row r="145" spans="1:27" ht="17.399999999999999" customHeight="1" x14ac:dyDescent="0.3">
      <c r="A145" s="17">
        <v>16</v>
      </c>
      <c r="B145" s="27" t="s">
        <v>266</v>
      </c>
      <c r="C145" s="66" t="s">
        <v>643</v>
      </c>
      <c r="D145" t="s">
        <v>684</v>
      </c>
      <c r="E145"/>
      <c r="F145"/>
      <c r="H145"/>
      <c r="I145"/>
      <c r="J145"/>
      <c r="K145"/>
      <c r="L145"/>
      <c r="M145"/>
      <c r="P145"/>
      <c r="Q145"/>
      <c r="R145"/>
      <c r="T145"/>
      <c r="U145"/>
      <c r="V145"/>
      <c r="W145"/>
      <c r="Y145"/>
      <c r="Z145"/>
      <c r="AA145"/>
    </row>
    <row r="146" spans="1:27" ht="17.399999999999999" customHeight="1" x14ac:dyDescent="0.3">
      <c r="A146" s="17">
        <v>16</v>
      </c>
      <c r="B146" s="27" t="s">
        <v>267</v>
      </c>
      <c r="C146" s="66" t="s">
        <v>644</v>
      </c>
      <c r="D146" t="s">
        <v>684</v>
      </c>
      <c r="E146"/>
      <c r="F146"/>
      <c r="H146"/>
      <c r="I146"/>
      <c r="J146"/>
      <c r="K146"/>
      <c r="L146"/>
      <c r="M146"/>
      <c r="P146"/>
      <c r="Q146"/>
      <c r="R146"/>
      <c r="T146"/>
      <c r="U146"/>
      <c r="V146"/>
      <c r="W146"/>
      <c r="Y146"/>
      <c r="Z146"/>
      <c r="AA146"/>
    </row>
    <row r="147" spans="1:27" ht="17.399999999999999" customHeight="1" x14ac:dyDescent="0.3">
      <c r="A147" s="17">
        <v>16</v>
      </c>
      <c r="B147" s="27" t="s">
        <v>268</v>
      </c>
      <c r="C147" s="66" t="s">
        <v>645</v>
      </c>
      <c r="D147" t="s">
        <v>685</v>
      </c>
      <c r="E147"/>
      <c r="F147"/>
      <c r="H147"/>
      <c r="I147"/>
      <c r="J147"/>
      <c r="K147"/>
      <c r="L147"/>
      <c r="M147"/>
      <c r="P147"/>
      <c r="Q147"/>
      <c r="R147"/>
      <c r="T147"/>
      <c r="U147"/>
      <c r="V147"/>
      <c r="W147"/>
      <c r="Y147"/>
      <c r="Z147"/>
      <c r="AA147"/>
    </row>
    <row r="148" spans="1:27" ht="17.399999999999999" customHeight="1" x14ac:dyDescent="0.3">
      <c r="A148" s="17">
        <v>16</v>
      </c>
      <c r="B148" s="27" t="s">
        <v>269</v>
      </c>
      <c r="C148" s="66" t="s">
        <v>646</v>
      </c>
      <c r="D148" t="s">
        <v>685</v>
      </c>
      <c r="E148"/>
      <c r="F148"/>
      <c r="H148"/>
      <c r="I148"/>
      <c r="J148"/>
      <c r="K148"/>
      <c r="L148"/>
      <c r="M148"/>
      <c r="P148"/>
      <c r="Q148"/>
      <c r="R148"/>
      <c r="T148"/>
      <c r="U148"/>
      <c r="V148"/>
      <c r="W148"/>
      <c r="Y148"/>
      <c r="Z148"/>
      <c r="AA148"/>
    </row>
    <row r="149" spans="1:27" ht="17.399999999999999" customHeight="1" x14ac:dyDescent="0.3">
      <c r="A149" s="17">
        <v>16</v>
      </c>
      <c r="B149" s="27" t="s">
        <v>270</v>
      </c>
      <c r="C149" s="66" t="s">
        <v>647</v>
      </c>
      <c r="D149" t="s">
        <v>685</v>
      </c>
      <c r="E149"/>
      <c r="F149"/>
      <c r="H149"/>
      <c r="I149"/>
      <c r="J149"/>
      <c r="K149"/>
      <c r="L149"/>
      <c r="M149"/>
      <c r="P149"/>
      <c r="Q149"/>
      <c r="R149"/>
      <c r="T149"/>
      <c r="U149"/>
      <c r="V149"/>
      <c r="W149"/>
      <c r="Y149"/>
      <c r="Z149"/>
      <c r="AA149"/>
    </row>
    <row r="150" spans="1:27" ht="17.399999999999999" customHeight="1" x14ac:dyDescent="0.3">
      <c r="A150" s="17">
        <v>17</v>
      </c>
      <c r="B150" s="27" t="s">
        <v>271</v>
      </c>
      <c r="C150" s="66" t="s">
        <v>648</v>
      </c>
    </row>
    <row r="151" spans="1:27" ht="17.399999999999999" customHeight="1" x14ac:dyDescent="0.3">
      <c r="A151" s="17">
        <v>17</v>
      </c>
      <c r="B151" s="27" t="s">
        <v>272</v>
      </c>
      <c r="C151" s="66" t="s">
        <v>649</v>
      </c>
      <c r="D151"/>
      <c r="E151"/>
      <c r="F151"/>
      <c r="H151"/>
      <c r="I151"/>
      <c r="J151"/>
      <c r="K151"/>
      <c r="L151"/>
      <c r="M151"/>
      <c r="P151"/>
      <c r="Q151"/>
      <c r="R151"/>
      <c r="T151"/>
      <c r="U151"/>
      <c r="V151"/>
      <c r="W151"/>
      <c r="Y151"/>
      <c r="Z151"/>
      <c r="AA151"/>
    </row>
    <row r="152" spans="1:27" ht="17.399999999999999" customHeight="1" x14ac:dyDescent="0.3">
      <c r="A152" s="17">
        <v>17</v>
      </c>
      <c r="B152" s="27" t="s">
        <v>273</v>
      </c>
      <c r="C152" s="66" t="s">
        <v>650</v>
      </c>
      <c r="D152"/>
      <c r="E152"/>
      <c r="F152"/>
      <c r="H152"/>
      <c r="I152"/>
      <c r="J152"/>
      <c r="K152"/>
      <c r="L152"/>
      <c r="M152"/>
      <c r="P152"/>
      <c r="Q152"/>
      <c r="R152"/>
      <c r="T152"/>
      <c r="U152"/>
      <c r="V152"/>
      <c r="W152"/>
      <c r="Y152"/>
      <c r="Z152"/>
      <c r="AA152"/>
    </row>
    <row r="153" spans="1:27" ht="17.399999999999999" customHeight="1" x14ac:dyDescent="0.3">
      <c r="A153" s="17">
        <v>17</v>
      </c>
      <c r="B153" s="27" t="s">
        <v>274</v>
      </c>
      <c r="C153" s="66" t="s">
        <v>651</v>
      </c>
      <c r="D153"/>
      <c r="E153"/>
      <c r="F153"/>
      <c r="H153"/>
      <c r="I153"/>
      <c r="J153"/>
      <c r="K153"/>
      <c r="L153"/>
      <c r="M153"/>
      <c r="P153"/>
      <c r="Q153"/>
      <c r="R153"/>
      <c r="T153"/>
      <c r="U153"/>
      <c r="V153"/>
      <c r="W153"/>
      <c r="Y153"/>
      <c r="Z153"/>
      <c r="AA153"/>
    </row>
    <row r="154" spans="1:27" ht="17.399999999999999" customHeight="1" x14ac:dyDescent="0.3">
      <c r="A154" s="17">
        <v>17</v>
      </c>
      <c r="B154" s="27" t="s">
        <v>275</v>
      </c>
      <c r="C154" s="66" t="s">
        <v>652</v>
      </c>
      <c r="D154"/>
      <c r="E154"/>
      <c r="F154"/>
      <c r="H154"/>
      <c r="I154"/>
      <c r="J154"/>
      <c r="K154"/>
      <c r="L154"/>
      <c r="M154"/>
      <c r="P154"/>
      <c r="Q154"/>
      <c r="R154"/>
      <c r="T154"/>
      <c r="U154"/>
      <c r="V154"/>
      <c r="W154"/>
      <c r="Y154"/>
      <c r="Z154"/>
      <c r="AA154"/>
    </row>
    <row r="155" spans="1:27" ht="17.399999999999999" customHeight="1" x14ac:dyDescent="0.3">
      <c r="A155" s="17">
        <v>18</v>
      </c>
      <c r="B155" s="27" t="s">
        <v>276</v>
      </c>
      <c r="C155" s="66" t="s">
        <v>653</v>
      </c>
    </row>
    <row r="156" spans="1:27" ht="17.399999999999999" customHeight="1" x14ac:dyDescent="0.3">
      <c r="A156" s="17">
        <v>18</v>
      </c>
      <c r="B156" s="27" t="s">
        <v>277</v>
      </c>
      <c r="C156" s="66" t="s">
        <v>654</v>
      </c>
      <c r="D156"/>
      <c r="E156"/>
      <c r="F156"/>
      <c r="G156"/>
      <c r="H156"/>
    </row>
    <row r="157" spans="1:27" ht="17.399999999999999" customHeight="1" x14ac:dyDescent="0.3">
      <c r="A157" s="17">
        <v>18</v>
      </c>
      <c r="B157" s="27" t="s">
        <v>278</v>
      </c>
      <c r="C157" s="66" t="s">
        <v>655</v>
      </c>
      <c r="D157"/>
      <c r="E157"/>
      <c r="F157"/>
      <c r="G157"/>
      <c r="H157"/>
    </row>
    <row r="158" spans="1:27" ht="17.399999999999999" customHeight="1" x14ac:dyDescent="0.3">
      <c r="A158" s="17">
        <v>18</v>
      </c>
      <c r="B158" s="27" t="s">
        <v>279</v>
      </c>
      <c r="C158" s="66" t="s">
        <v>656</v>
      </c>
      <c r="D158"/>
      <c r="E158"/>
      <c r="F158"/>
      <c r="G158"/>
      <c r="H158"/>
    </row>
    <row r="159" spans="1:27" ht="17.399999999999999" customHeight="1" x14ac:dyDescent="0.3">
      <c r="A159" s="17">
        <v>18</v>
      </c>
      <c r="B159" s="27" t="s">
        <v>280</v>
      </c>
      <c r="C159" s="66" t="s">
        <v>657</v>
      </c>
      <c r="D159"/>
      <c r="E159"/>
      <c r="F159"/>
      <c r="G159"/>
      <c r="H159"/>
    </row>
    <row r="160" spans="1:27" ht="17.399999999999999" customHeight="1" x14ac:dyDescent="0.3">
      <c r="A160" s="17">
        <v>18</v>
      </c>
      <c r="B160" s="27" t="s">
        <v>281</v>
      </c>
      <c r="C160" s="66" t="s">
        <v>658</v>
      </c>
      <c r="D160"/>
      <c r="E160"/>
      <c r="F160"/>
      <c r="G160"/>
      <c r="H160"/>
    </row>
    <row r="161" spans="1:28" ht="17.399999999999999" customHeight="1" x14ac:dyDescent="0.3">
      <c r="A161" s="17">
        <v>18</v>
      </c>
      <c r="B161" s="27" t="s">
        <v>282</v>
      </c>
      <c r="C161" s="66" t="s">
        <v>659</v>
      </c>
      <c r="D161"/>
      <c r="E161"/>
      <c r="F161"/>
      <c r="G161"/>
      <c r="H161"/>
    </row>
    <row r="162" spans="1:28" ht="17.399999999999999" customHeight="1" x14ac:dyDescent="0.3">
      <c r="A162" s="17">
        <v>19</v>
      </c>
      <c r="B162" s="27" t="s">
        <v>283</v>
      </c>
      <c r="C162" s="66" t="s">
        <v>660</v>
      </c>
    </row>
    <row r="163" spans="1:28" ht="17.399999999999999" customHeight="1" x14ac:dyDescent="0.3">
      <c r="A163" s="17">
        <v>19</v>
      </c>
      <c r="B163" s="27" t="s">
        <v>284</v>
      </c>
      <c r="C163" s="66" t="s">
        <v>661</v>
      </c>
      <c r="D163"/>
      <c r="E163"/>
      <c r="F163"/>
      <c r="G163"/>
      <c r="H163"/>
    </row>
    <row r="164" spans="1:28" ht="17.399999999999999" customHeight="1" x14ac:dyDescent="0.3">
      <c r="A164" s="17">
        <v>19</v>
      </c>
      <c r="B164" s="27" t="s">
        <v>285</v>
      </c>
      <c r="C164" s="66" t="s">
        <v>662</v>
      </c>
      <c r="D164"/>
      <c r="E164"/>
      <c r="F164"/>
      <c r="G164"/>
      <c r="H164"/>
    </row>
    <row r="165" spans="1:28" ht="17.399999999999999" customHeight="1" x14ac:dyDescent="0.3">
      <c r="A165" s="17">
        <v>19</v>
      </c>
      <c r="B165" s="27" t="s">
        <v>286</v>
      </c>
      <c r="C165" s="66" t="s">
        <v>663</v>
      </c>
      <c r="D165"/>
      <c r="E165"/>
      <c r="F165"/>
      <c r="G165"/>
      <c r="H165"/>
    </row>
    <row r="166" spans="1:28" ht="17.399999999999999" customHeight="1" x14ac:dyDescent="0.3">
      <c r="A166" s="17">
        <v>19</v>
      </c>
      <c r="B166" s="27" t="s">
        <v>287</v>
      </c>
      <c r="C166" s="66" t="s">
        <v>664</v>
      </c>
      <c r="D166"/>
      <c r="E166"/>
      <c r="F166"/>
      <c r="G166"/>
      <c r="H166"/>
    </row>
    <row r="167" spans="1:28" ht="17.399999999999999" customHeight="1" x14ac:dyDescent="0.3">
      <c r="A167" s="17">
        <v>19</v>
      </c>
      <c r="B167" s="27" t="s">
        <v>288</v>
      </c>
      <c r="C167" s="66" t="s">
        <v>665</v>
      </c>
      <c r="D167"/>
      <c r="E167"/>
      <c r="F167"/>
      <c r="G167"/>
      <c r="H167"/>
    </row>
    <row r="168" spans="1:28" ht="17.399999999999999" customHeight="1" x14ac:dyDescent="0.3">
      <c r="A168" s="17">
        <v>19</v>
      </c>
      <c r="B168" s="27" t="s">
        <v>289</v>
      </c>
      <c r="C168" s="66" t="s">
        <v>666</v>
      </c>
      <c r="D168"/>
      <c r="E168"/>
      <c r="F168"/>
      <c r="G168"/>
      <c r="H168"/>
    </row>
    <row r="169" spans="1:28" ht="17.399999999999999" customHeight="1" x14ac:dyDescent="0.3">
      <c r="A169" s="17">
        <v>20</v>
      </c>
      <c r="B169" s="27" t="s">
        <v>290</v>
      </c>
      <c r="C169" s="66" t="s">
        <v>667</v>
      </c>
      <c r="I169"/>
    </row>
    <row r="170" spans="1:28" s="27" customFormat="1" ht="33" customHeight="1" x14ac:dyDescent="0.3">
      <c r="A170" s="17">
        <v>20</v>
      </c>
      <c r="B170" s="27" t="s">
        <v>291</v>
      </c>
      <c r="C170" s="66" t="s">
        <v>668</v>
      </c>
      <c r="D170" s="64"/>
      <c r="E170" s="64"/>
      <c r="F170" s="64"/>
      <c r="G170" s="64"/>
      <c r="H170" s="64"/>
      <c r="N170" s="57"/>
      <c r="AB170" s="58"/>
    </row>
    <row r="171" spans="1:28" ht="17.399999999999999" customHeight="1" x14ac:dyDescent="0.3">
      <c r="A171" s="17">
        <v>20</v>
      </c>
      <c r="B171" s="27" t="s">
        <v>292</v>
      </c>
      <c r="C171" s="66" t="s">
        <v>669</v>
      </c>
      <c r="D171"/>
      <c r="E171"/>
      <c r="F171"/>
      <c r="G171"/>
      <c r="H171"/>
    </row>
    <row r="172" spans="1:28" ht="17.399999999999999" customHeight="1" x14ac:dyDescent="0.3">
      <c r="A172" s="17">
        <v>20</v>
      </c>
      <c r="B172" s="27" t="s">
        <v>293</v>
      </c>
      <c r="C172" s="66" t="s">
        <v>670</v>
      </c>
      <c r="D172"/>
      <c r="E172"/>
      <c r="F172"/>
      <c r="G172"/>
      <c r="H172"/>
    </row>
    <row r="173" spans="1:28" ht="17.399999999999999" customHeight="1" x14ac:dyDescent="0.3">
      <c r="A173" s="17">
        <v>20</v>
      </c>
      <c r="B173" s="27" t="s">
        <v>294</v>
      </c>
      <c r="C173" s="66" t="s">
        <v>671</v>
      </c>
      <c r="D173"/>
      <c r="E173"/>
      <c r="F173"/>
      <c r="G173"/>
      <c r="H173"/>
    </row>
    <row r="174" spans="1:28" ht="17.399999999999999" customHeight="1" x14ac:dyDescent="0.3">
      <c r="A174" s="17">
        <v>20</v>
      </c>
      <c r="B174" s="27" t="s">
        <v>295</v>
      </c>
      <c r="C174" s="66" t="s">
        <v>672</v>
      </c>
    </row>
    <row r="175" spans="1:28" ht="17.399999999999999" customHeight="1" x14ac:dyDescent="0.3">
      <c r="A175" s="17">
        <v>20</v>
      </c>
      <c r="B175" s="27" t="s">
        <v>296</v>
      </c>
      <c r="C175" s="66" t="s">
        <v>673</v>
      </c>
    </row>
    <row r="176" spans="1:28" ht="17.399999999999999" customHeight="1" x14ac:dyDescent="0.3">
      <c r="A176" s="17">
        <v>21</v>
      </c>
      <c r="B176" s="27" t="s">
        <v>297</v>
      </c>
      <c r="C176" s="66" t="s">
        <v>674</v>
      </c>
    </row>
    <row r="177" spans="1:3" ht="17.399999999999999" customHeight="1" x14ac:dyDescent="0.3">
      <c r="A177" s="17">
        <v>21</v>
      </c>
      <c r="B177" s="27" t="s">
        <v>298</v>
      </c>
      <c r="C177" s="66" t="s">
        <v>675</v>
      </c>
    </row>
    <row r="178" spans="1:3" ht="17.399999999999999" customHeight="1" x14ac:dyDescent="0.3">
      <c r="A178" s="17">
        <v>21</v>
      </c>
      <c r="B178" s="27" t="s">
        <v>299</v>
      </c>
      <c r="C178" s="66" t="s">
        <v>676</v>
      </c>
    </row>
    <row r="179" spans="1:3" ht="17.399999999999999" customHeight="1" x14ac:dyDescent="0.3">
      <c r="A179" s="17">
        <v>21</v>
      </c>
      <c r="B179" s="27" t="s">
        <v>300</v>
      </c>
      <c r="C179" s="66" t="s">
        <v>677</v>
      </c>
    </row>
    <row r="180" spans="1:3" ht="17.399999999999999" customHeight="1" x14ac:dyDescent="0.3">
      <c r="A180" s="17">
        <v>21</v>
      </c>
      <c r="B180" s="27" t="s">
        <v>301</v>
      </c>
      <c r="C180" s="66" t="s">
        <v>678</v>
      </c>
    </row>
    <row r="181" spans="1:3" ht="17.399999999999999" customHeight="1" x14ac:dyDescent="0.3">
      <c r="A181" s="17">
        <v>21</v>
      </c>
      <c r="B181" s="27" t="s">
        <v>302</v>
      </c>
      <c r="C181" s="66" t="s">
        <v>679</v>
      </c>
    </row>
    <row r="182" spans="1:3" ht="15.6" x14ac:dyDescent="0.3"/>
    <row r="183" spans="1:3" ht="15.6" x14ac:dyDescent="0.3"/>
    <row r="184" spans="1:3" ht="15.6" x14ac:dyDescent="0.3"/>
    <row r="185" spans="1:3" ht="15.6" x14ac:dyDescent="0.3"/>
    <row r="186" spans="1:3" ht="15.6" x14ac:dyDescent="0.3"/>
    <row r="188" spans="1:3" ht="15.6" x14ac:dyDescent="0.3"/>
    <row r="189" spans="1:3" ht="15.6" x14ac:dyDescent="0.3"/>
    <row r="190" spans="1:3" ht="15.6" x14ac:dyDescent="0.3"/>
    <row r="191" spans="1:3" ht="15.6" x14ac:dyDescent="0.3"/>
    <row r="194" spans="3:28" ht="15.6" x14ac:dyDescent="0.3"/>
    <row r="196" spans="3:28" ht="15.6" x14ac:dyDescent="0.3"/>
    <row r="197" spans="3:28" ht="15.6" x14ac:dyDescent="0.3"/>
    <row r="198" spans="3:28" ht="15.6" x14ac:dyDescent="0.3"/>
    <row r="199" spans="3:28" ht="15.6" x14ac:dyDescent="0.3"/>
    <row r="200" spans="3:28" ht="15.6" x14ac:dyDescent="0.3"/>
    <row r="201" spans="3:28" ht="15.6" x14ac:dyDescent="0.3"/>
    <row r="202" spans="3:28" ht="15.6" x14ac:dyDescent="0.3"/>
    <row r="203" spans="3:28" ht="15.6" x14ac:dyDescent="0.3"/>
    <row r="204" spans="3:28" ht="15.6" x14ac:dyDescent="0.3"/>
    <row r="205" spans="3:28" ht="15.6" x14ac:dyDescent="0.3"/>
    <row r="206" spans="3:28" ht="15.6" x14ac:dyDescent="0.3"/>
    <row r="207" spans="3:28" s="27" customFormat="1" ht="15.6" x14ac:dyDescent="0.3">
      <c r="C207" s="67"/>
      <c r="N207" s="57"/>
      <c r="AB207" s="58"/>
    </row>
    <row r="208" spans="3:28" s="27" customFormat="1" ht="15.6" x14ac:dyDescent="0.3">
      <c r="C208" s="67"/>
      <c r="N208" s="57"/>
      <c r="AB208" s="58"/>
    </row>
    <row r="209" spans="3:28" s="27" customFormat="1" ht="15.6" x14ac:dyDescent="0.3">
      <c r="C209" s="67"/>
      <c r="N209" s="57"/>
      <c r="AB209" s="58"/>
    </row>
    <row r="210" spans="3:28" s="27" customFormat="1" ht="15.6" x14ac:dyDescent="0.3">
      <c r="C210" s="67"/>
      <c r="N210" s="57"/>
      <c r="AB210" s="58"/>
    </row>
    <row r="211" spans="3:28" s="27" customFormat="1" ht="15.6" x14ac:dyDescent="0.3">
      <c r="C211" s="67"/>
      <c r="N211" s="57"/>
      <c r="AB211" s="58"/>
    </row>
    <row r="212" spans="3:28" s="27" customFormat="1" ht="15.6" x14ac:dyDescent="0.3">
      <c r="C212" s="67"/>
      <c r="N212" s="57"/>
      <c r="AB212" s="58"/>
    </row>
    <row r="213" spans="3:28" s="27" customFormat="1" ht="201.75" customHeight="1" x14ac:dyDescent="0.3">
      <c r="C213" s="67"/>
      <c r="N213" s="57"/>
      <c r="AB213" s="58"/>
    </row>
    <row r="214" spans="3:28" s="27" customFormat="1" ht="15.6" x14ac:dyDescent="0.3">
      <c r="C214" s="67"/>
      <c r="N214" s="57"/>
      <c r="AB214" s="58"/>
    </row>
    <row r="215" spans="3:28" ht="15.6" x14ac:dyDescent="0.3"/>
    <row r="216" spans="3:28" ht="15.6" x14ac:dyDescent="0.3"/>
    <row r="217" spans="3:28" ht="15.6" x14ac:dyDescent="0.3"/>
    <row r="218" spans="3:28" ht="15.6" x14ac:dyDescent="0.3"/>
    <row r="219" spans="3:28" ht="15.6" x14ac:dyDescent="0.3"/>
    <row r="220" spans="3:28" ht="15.6" x14ac:dyDescent="0.3"/>
    <row r="221" spans="3:28" ht="15.6" x14ac:dyDescent="0.3"/>
    <row r="222" spans="3:28" ht="15.6" x14ac:dyDescent="0.3"/>
    <row r="225" spans="3:28" ht="15.6" x14ac:dyDescent="0.3"/>
    <row r="226" spans="3:28" ht="15.6" x14ac:dyDescent="0.3"/>
    <row r="227" spans="3:28" ht="15.6" x14ac:dyDescent="0.3"/>
    <row r="228" spans="3:28" ht="15.6" x14ac:dyDescent="0.3"/>
    <row r="229" spans="3:28" ht="15.6" x14ac:dyDescent="0.3"/>
    <row r="230" spans="3:28" ht="15.6" x14ac:dyDescent="0.3"/>
    <row r="231" spans="3:28" ht="15.6" x14ac:dyDescent="0.3"/>
    <row r="232" spans="3:28" ht="15.6" x14ac:dyDescent="0.3"/>
    <row r="233" spans="3:28" ht="15.6" x14ac:dyDescent="0.3"/>
    <row r="234" spans="3:28" ht="15.6" x14ac:dyDescent="0.3"/>
    <row r="235" spans="3:28" ht="15.6" x14ac:dyDescent="0.3"/>
    <row r="236" spans="3:28" ht="15.6" x14ac:dyDescent="0.3"/>
    <row r="237" spans="3:28" ht="15.6" x14ac:dyDescent="0.3"/>
    <row r="238" spans="3:28" s="27" customFormat="1" ht="15.6" x14ac:dyDescent="0.3">
      <c r="C238" s="67"/>
      <c r="N238" s="57"/>
      <c r="AB238" s="58"/>
    </row>
    <row r="239" spans="3:28" s="27" customFormat="1" ht="15.6" x14ac:dyDescent="0.3">
      <c r="C239" s="67"/>
      <c r="N239" s="57"/>
      <c r="AB239" s="58"/>
    </row>
    <row r="240" spans="3:28" s="27" customFormat="1" ht="15.6" x14ac:dyDescent="0.3">
      <c r="C240" s="67"/>
      <c r="N240" s="57"/>
      <c r="AB240" s="58"/>
    </row>
    <row r="241" spans="3:28" s="27" customFormat="1" ht="15.6" x14ac:dyDescent="0.3">
      <c r="C241" s="67"/>
      <c r="N241" s="57"/>
      <c r="AB241" s="58"/>
    </row>
    <row r="242" spans="3:28" s="27" customFormat="1" ht="15.6" x14ac:dyDescent="0.3">
      <c r="C242" s="67"/>
      <c r="N242" s="57"/>
      <c r="AB242" s="58"/>
    </row>
    <row r="243" spans="3:28" s="27" customFormat="1" ht="15.6" x14ac:dyDescent="0.3">
      <c r="C243" s="67"/>
      <c r="N243" s="57"/>
      <c r="AB243" s="58"/>
    </row>
    <row r="244" spans="3:28" s="27" customFormat="1" ht="15.6" x14ac:dyDescent="0.3">
      <c r="C244" s="67"/>
      <c r="N244" s="57"/>
      <c r="AB244" s="58"/>
    </row>
    <row r="245" spans="3:28" s="27" customFormat="1" ht="15.6" x14ac:dyDescent="0.3">
      <c r="C245" s="67"/>
      <c r="N245" s="57"/>
      <c r="AB245" s="58"/>
    </row>
    <row r="246" spans="3:28" s="27" customFormat="1" ht="15.6" x14ac:dyDescent="0.3">
      <c r="C246" s="67"/>
      <c r="N246" s="57"/>
      <c r="AB246" s="58"/>
    </row>
    <row r="247" spans="3:28" s="27" customFormat="1" ht="15.6" x14ac:dyDescent="0.3">
      <c r="C247" s="67"/>
      <c r="N247" s="57"/>
      <c r="AB247" s="58"/>
    </row>
    <row r="248" spans="3:28" s="27" customFormat="1" ht="15.6" x14ac:dyDescent="0.3">
      <c r="C248" s="67"/>
      <c r="N248" s="57"/>
      <c r="AB248" s="58"/>
    </row>
    <row r="249" spans="3:28" s="27" customFormat="1" ht="15.6" x14ac:dyDescent="0.3">
      <c r="C249" s="67"/>
      <c r="N249" s="57"/>
      <c r="AB249" s="58"/>
    </row>
    <row r="250" spans="3:28" s="27" customFormat="1" ht="15.6" x14ac:dyDescent="0.3">
      <c r="C250" s="67"/>
      <c r="N250" s="57"/>
      <c r="AB250" s="58"/>
    </row>
    <row r="251" spans="3:28" s="27" customFormat="1" ht="15.6" x14ac:dyDescent="0.3">
      <c r="C251" s="67"/>
      <c r="N251" s="57"/>
      <c r="AB251" s="58"/>
    </row>
    <row r="252" spans="3:28" s="27" customFormat="1" ht="15.6" x14ac:dyDescent="0.3">
      <c r="C252" s="67"/>
      <c r="N252" s="57"/>
      <c r="AB252" s="58"/>
    </row>
    <row r="253" spans="3:28" s="27" customFormat="1" ht="15.6" x14ac:dyDescent="0.3">
      <c r="C253" s="67"/>
      <c r="N253" s="57"/>
      <c r="AB253" s="58"/>
    </row>
    <row r="254" spans="3:28" s="27" customFormat="1" ht="15.6" x14ac:dyDescent="0.3">
      <c r="C254" s="67"/>
      <c r="N254" s="57"/>
      <c r="AB254" s="58"/>
    </row>
    <row r="255" spans="3:28" s="27" customFormat="1" ht="15.6" x14ac:dyDescent="0.3">
      <c r="C255" s="67"/>
      <c r="N255" s="57"/>
      <c r="AB255" s="58"/>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E3D59-97F9-45B3-9CC5-ED99E41D5BAA}">
  <sheetPr codeName="Sheet5"/>
  <dimension ref="A1:D81"/>
  <sheetViews>
    <sheetView topLeftCell="A65" zoomScale="85" zoomScaleNormal="85" workbookViewId="0">
      <selection activeCell="A73" sqref="A73:XFD73"/>
    </sheetView>
  </sheetViews>
  <sheetFormatPr defaultRowHeight="15.6" x14ac:dyDescent="0.3"/>
  <cols>
    <col min="1" max="1" width="4.8984375" bestFit="1" customWidth="1"/>
    <col min="2" max="2" width="138.8984375" customWidth="1"/>
    <col min="4" max="4" width="19.09765625" bestFit="1" customWidth="1"/>
  </cols>
  <sheetData>
    <row r="1" spans="1:4" x14ac:dyDescent="0.3">
      <c r="B1" t="s">
        <v>507</v>
      </c>
    </row>
    <row r="2" spans="1:4" ht="46.95" customHeight="1" x14ac:dyDescent="0.3">
      <c r="A2" s="27">
        <v>1.1000000000000001</v>
      </c>
      <c r="B2" s="59" t="s">
        <v>351</v>
      </c>
      <c r="D2" s="27"/>
    </row>
    <row r="3" spans="1:4" ht="31.2" x14ac:dyDescent="0.3">
      <c r="A3" s="27">
        <v>1.2</v>
      </c>
      <c r="B3" s="27" t="s">
        <v>353</v>
      </c>
      <c r="D3" s="27"/>
    </row>
    <row r="4" spans="1:4" ht="31.2" x14ac:dyDescent="0.3">
      <c r="A4" s="27">
        <v>2.1</v>
      </c>
      <c r="B4" s="27" t="s">
        <v>355</v>
      </c>
      <c r="D4" s="27"/>
    </row>
    <row r="5" spans="1:4" ht="31.2" x14ac:dyDescent="0.3">
      <c r="A5" s="27">
        <v>2.2000000000000002</v>
      </c>
      <c r="B5" s="27" t="s">
        <v>357</v>
      </c>
      <c r="D5" s="27"/>
    </row>
    <row r="6" spans="1:4" ht="31.2" x14ac:dyDescent="0.3">
      <c r="A6" s="27">
        <v>2.2999999999999998</v>
      </c>
      <c r="B6" s="27" t="s">
        <v>359</v>
      </c>
      <c r="D6" s="27"/>
    </row>
    <row r="7" spans="1:4" ht="15.6" customHeight="1" x14ac:dyDescent="0.3">
      <c r="A7" s="27">
        <v>2.4</v>
      </c>
      <c r="B7" s="27" t="s">
        <v>360</v>
      </c>
      <c r="D7" s="27"/>
    </row>
    <row r="8" spans="1:4" x14ac:dyDescent="0.3">
      <c r="A8" s="27">
        <v>2.5</v>
      </c>
      <c r="B8" s="27" t="s">
        <v>361</v>
      </c>
      <c r="D8" s="27"/>
    </row>
    <row r="9" spans="1:4" ht="31.2" x14ac:dyDescent="0.3">
      <c r="A9" s="27">
        <v>3.1</v>
      </c>
      <c r="B9" s="27" t="s">
        <v>363</v>
      </c>
      <c r="D9" s="27"/>
    </row>
    <row r="10" spans="1:4" ht="31.2" x14ac:dyDescent="0.3">
      <c r="A10" s="27">
        <v>3.2</v>
      </c>
      <c r="B10" s="27" t="s">
        <v>364</v>
      </c>
      <c r="D10" s="27"/>
    </row>
    <row r="11" spans="1:4" x14ac:dyDescent="0.3">
      <c r="A11" s="27">
        <v>3.3</v>
      </c>
      <c r="B11" s="27" t="s">
        <v>366</v>
      </c>
      <c r="D11" s="27"/>
    </row>
    <row r="12" spans="1:4" x14ac:dyDescent="0.3">
      <c r="A12" s="27">
        <v>4.0999999999999996</v>
      </c>
      <c r="B12" s="27" t="s">
        <v>368</v>
      </c>
      <c r="D12" s="27"/>
    </row>
    <row r="13" spans="1:4" ht="31.2" x14ac:dyDescent="0.3">
      <c r="A13" s="27">
        <v>4.2</v>
      </c>
      <c r="B13" s="27" t="s">
        <v>370</v>
      </c>
      <c r="D13" s="27"/>
    </row>
    <row r="14" spans="1:4" ht="46.8" x14ac:dyDescent="0.3">
      <c r="A14" s="27">
        <v>4.3</v>
      </c>
      <c r="B14" s="27" t="s">
        <v>372</v>
      </c>
      <c r="D14" s="27"/>
    </row>
    <row r="15" spans="1:4" ht="31.2" x14ac:dyDescent="0.3">
      <c r="A15" s="27">
        <v>4.4000000000000004</v>
      </c>
      <c r="B15" s="27" t="s">
        <v>374</v>
      </c>
      <c r="D15" s="27"/>
    </row>
    <row r="16" spans="1:4" ht="31.2" x14ac:dyDescent="0.3">
      <c r="A16" s="27">
        <v>4.5</v>
      </c>
      <c r="B16" s="27" t="s">
        <v>376</v>
      </c>
      <c r="D16" s="27"/>
    </row>
    <row r="17" spans="1:4" ht="31.2" x14ac:dyDescent="0.3">
      <c r="A17" s="27">
        <v>4.5999999999999996</v>
      </c>
      <c r="B17" s="27" t="s">
        <v>378</v>
      </c>
      <c r="D17" s="27"/>
    </row>
    <row r="18" spans="1:4" ht="46.8" x14ac:dyDescent="0.3">
      <c r="A18" s="27">
        <v>4.7</v>
      </c>
      <c r="B18" s="27" t="s">
        <v>380</v>
      </c>
      <c r="D18" s="27"/>
    </row>
    <row r="19" spans="1:4" x14ac:dyDescent="0.3">
      <c r="A19" s="27">
        <v>4.8</v>
      </c>
      <c r="B19" s="27" t="s">
        <v>381</v>
      </c>
      <c r="D19" s="27"/>
    </row>
    <row r="20" spans="1:4" ht="31.2" x14ac:dyDescent="0.3">
      <c r="A20" s="27">
        <v>5.0999999999999996</v>
      </c>
      <c r="B20" s="27" t="s">
        <v>383</v>
      </c>
      <c r="D20" s="27"/>
    </row>
    <row r="21" spans="1:4" ht="46.95" customHeight="1" x14ac:dyDescent="0.3">
      <c r="A21" s="27">
        <v>5.2</v>
      </c>
      <c r="B21" s="27" t="s">
        <v>384</v>
      </c>
      <c r="D21" s="27"/>
    </row>
    <row r="22" spans="1:4" ht="46.95" customHeight="1" x14ac:dyDescent="0.3">
      <c r="A22" s="27">
        <v>5.3</v>
      </c>
      <c r="B22" s="27" t="s">
        <v>387</v>
      </c>
      <c r="D22" s="27"/>
    </row>
    <row r="23" spans="1:4" ht="31.2" x14ac:dyDescent="0.3">
      <c r="A23" s="27">
        <v>5.4</v>
      </c>
      <c r="B23" s="27" t="s">
        <v>388</v>
      </c>
      <c r="D23" s="27"/>
    </row>
    <row r="24" spans="1:4" ht="31.2" x14ac:dyDescent="0.3">
      <c r="A24" s="27">
        <v>5.5</v>
      </c>
      <c r="B24" s="27" t="s">
        <v>390</v>
      </c>
      <c r="D24" s="27"/>
    </row>
    <row r="25" spans="1:4" ht="46.8" x14ac:dyDescent="0.3">
      <c r="A25" s="27">
        <v>5.6</v>
      </c>
      <c r="B25" s="27" t="s">
        <v>391</v>
      </c>
      <c r="D25" s="27"/>
    </row>
    <row r="26" spans="1:4" ht="31.2" x14ac:dyDescent="0.3">
      <c r="A26" s="27">
        <v>5.7</v>
      </c>
      <c r="B26" s="27" t="s">
        <v>393</v>
      </c>
      <c r="D26" s="27"/>
    </row>
    <row r="27" spans="1:4" x14ac:dyDescent="0.3">
      <c r="A27" s="27">
        <v>5.8</v>
      </c>
      <c r="B27" s="27" t="s">
        <v>395</v>
      </c>
      <c r="D27" s="27"/>
    </row>
    <row r="28" spans="1:4" x14ac:dyDescent="0.3">
      <c r="A28" s="27">
        <v>5.9</v>
      </c>
      <c r="B28" s="27" t="s">
        <v>397</v>
      </c>
      <c r="D28" s="27"/>
    </row>
    <row r="29" spans="1:4" ht="31.2" x14ac:dyDescent="0.3">
      <c r="A29" s="27">
        <v>6.1</v>
      </c>
      <c r="B29" s="27" t="s">
        <v>399</v>
      </c>
      <c r="D29" s="27"/>
    </row>
    <row r="30" spans="1:4" x14ac:dyDescent="0.3">
      <c r="A30" s="27">
        <v>7.1</v>
      </c>
      <c r="B30" s="27" t="s">
        <v>401</v>
      </c>
      <c r="D30" s="27"/>
    </row>
    <row r="31" spans="1:4" x14ac:dyDescent="0.3">
      <c r="A31" s="27">
        <v>7.2</v>
      </c>
      <c r="B31" s="27" t="s">
        <v>402</v>
      </c>
      <c r="D31" s="27"/>
    </row>
    <row r="32" spans="1:4" ht="109.2" x14ac:dyDescent="0.3">
      <c r="A32" s="27">
        <v>7.3</v>
      </c>
      <c r="B32" s="27" t="s">
        <v>405</v>
      </c>
      <c r="D32" s="27"/>
    </row>
    <row r="33" spans="1:4" ht="46.8" x14ac:dyDescent="0.3">
      <c r="A33" s="27">
        <v>7.4</v>
      </c>
      <c r="B33" s="59" t="s">
        <v>407</v>
      </c>
      <c r="D33" s="27"/>
    </row>
    <row r="34" spans="1:4" ht="46.8" x14ac:dyDescent="0.3">
      <c r="A34" s="27">
        <v>8.1</v>
      </c>
      <c r="B34" s="27" t="s">
        <v>409</v>
      </c>
      <c r="D34" s="27"/>
    </row>
    <row r="35" spans="1:4" ht="78" x14ac:dyDescent="0.3">
      <c r="A35" s="27">
        <v>9.1</v>
      </c>
      <c r="B35" s="27" t="s">
        <v>411</v>
      </c>
      <c r="D35" s="27"/>
    </row>
    <row r="36" spans="1:4" ht="31.2" x14ac:dyDescent="0.3">
      <c r="A36" s="27">
        <v>10.1</v>
      </c>
      <c r="B36" s="27" t="s">
        <v>413</v>
      </c>
      <c r="D36" s="27"/>
    </row>
    <row r="37" spans="1:4" ht="46.8" x14ac:dyDescent="0.3">
      <c r="A37" s="27">
        <v>10.199999999999999</v>
      </c>
      <c r="B37" s="27" t="s">
        <v>415</v>
      </c>
      <c r="D37" s="27"/>
    </row>
    <row r="38" spans="1:4" ht="15.6" customHeight="1" x14ac:dyDescent="0.3">
      <c r="A38" s="27">
        <v>11.1</v>
      </c>
      <c r="B38" s="27" t="s">
        <v>417</v>
      </c>
      <c r="D38" s="27"/>
    </row>
    <row r="39" spans="1:4" ht="46.95" customHeight="1" x14ac:dyDescent="0.3">
      <c r="A39" s="27">
        <v>11.2</v>
      </c>
      <c r="B39" s="27" t="s">
        <v>419</v>
      </c>
      <c r="D39" s="27"/>
    </row>
    <row r="40" spans="1:4" x14ac:dyDescent="0.3">
      <c r="A40" s="27">
        <v>11.3</v>
      </c>
      <c r="B40" s="27" t="s">
        <v>421</v>
      </c>
      <c r="D40" s="27"/>
    </row>
    <row r="41" spans="1:4" ht="46.8" x14ac:dyDescent="0.3">
      <c r="A41" s="27">
        <v>11.4</v>
      </c>
      <c r="B41" s="27" t="s">
        <v>423</v>
      </c>
      <c r="D41" s="27"/>
    </row>
    <row r="42" spans="1:4" ht="31.2" x14ac:dyDescent="0.3">
      <c r="A42" s="27">
        <v>11.5</v>
      </c>
      <c r="B42" s="27" t="s">
        <v>425</v>
      </c>
      <c r="D42" s="27"/>
    </row>
    <row r="43" spans="1:4" ht="31.2" x14ac:dyDescent="0.3">
      <c r="A43" s="27">
        <v>12.1</v>
      </c>
      <c r="B43" s="27" t="s">
        <v>427</v>
      </c>
      <c r="D43" s="27"/>
    </row>
    <row r="44" spans="1:4" ht="31.2" x14ac:dyDescent="0.3">
      <c r="A44" s="27">
        <v>12.2</v>
      </c>
      <c r="B44" s="27" t="s">
        <v>429</v>
      </c>
      <c r="D44" s="27"/>
    </row>
    <row r="45" spans="1:4" ht="15.6" customHeight="1" x14ac:dyDescent="0.3">
      <c r="A45" s="27">
        <v>12.3</v>
      </c>
      <c r="B45" s="27" t="s">
        <v>431</v>
      </c>
      <c r="D45" s="27"/>
    </row>
    <row r="46" spans="1:4" ht="31.95" customHeight="1" x14ac:dyDescent="0.3">
      <c r="A46" s="27">
        <v>12.4</v>
      </c>
      <c r="B46" s="27" t="s">
        <v>433</v>
      </c>
      <c r="D46" s="27"/>
    </row>
    <row r="47" spans="1:4" x14ac:dyDescent="0.3">
      <c r="A47" s="27">
        <v>12.5</v>
      </c>
      <c r="B47" s="27" t="s">
        <v>435</v>
      </c>
      <c r="D47" s="27"/>
    </row>
    <row r="48" spans="1:4" x14ac:dyDescent="0.3">
      <c r="A48" s="27">
        <v>12.6</v>
      </c>
      <c r="B48" s="27" t="s">
        <v>437</v>
      </c>
      <c r="D48" s="27"/>
    </row>
    <row r="49" spans="1:4" ht="46.95" customHeight="1" x14ac:dyDescent="0.3">
      <c r="A49" s="27">
        <v>13.1</v>
      </c>
      <c r="B49" s="27" t="s">
        <v>445</v>
      </c>
      <c r="D49" s="27"/>
    </row>
    <row r="50" spans="1:4" ht="31.95" customHeight="1" x14ac:dyDescent="0.3">
      <c r="A50" s="27">
        <v>13.2</v>
      </c>
      <c r="B50" s="27" t="s">
        <v>447</v>
      </c>
      <c r="D50" s="27"/>
    </row>
    <row r="51" spans="1:4" ht="31.2" x14ac:dyDescent="0.3">
      <c r="A51" s="27">
        <v>13.3</v>
      </c>
      <c r="B51" s="59" t="s">
        <v>449</v>
      </c>
      <c r="D51" s="27"/>
    </row>
    <row r="52" spans="1:4" x14ac:dyDescent="0.3">
      <c r="A52" s="27">
        <v>14.1</v>
      </c>
      <c r="B52" s="27" t="s">
        <v>451</v>
      </c>
      <c r="D52" s="27"/>
    </row>
    <row r="53" spans="1:4" ht="46.8" x14ac:dyDescent="0.3">
      <c r="A53" s="27">
        <v>14.2</v>
      </c>
      <c r="B53" s="27" t="s">
        <v>453</v>
      </c>
      <c r="D53" s="27"/>
    </row>
    <row r="54" spans="1:4" x14ac:dyDescent="0.3">
      <c r="A54" s="27">
        <v>14.3</v>
      </c>
      <c r="B54" s="27" t="s">
        <v>455</v>
      </c>
      <c r="D54" s="27"/>
    </row>
    <row r="55" spans="1:4" x14ac:dyDescent="0.3">
      <c r="A55" s="27">
        <v>14.4</v>
      </c>
      <c r="B55" s="27" t="s">
        <v>457</v>
      </c>
      <c r="D55" s="27"/>
    </row>
    <row r="56" spans="1:4" x14ac:dyDescent="0.3">
      <c r="A56" s="27">
        <v>14.5</v>
      </c>
      <c r="B56" s="27" t="s">
        <v>459</v>
      </c>
      <c r="D56" s="27"/>
    </row>
    <row r="57" spans="1:4" ht="31.2" x14ac:dyDescent="0.3">
      <c r="A57" s="27">
        <v>14.6</v>
      </c>
      <c r="B57" s="27" t="s">
        <v>461</v>
      </c>
      <c r="D57" s="27"/>
    </row>
    <row r="58" spans="1:4" ht="31.2" x14ac:dyDescent="0.3">
      <c r="A58" s="27">
        <v>15.1</v>
      </c>
      <c r="B58" s="27" t="s">
        <v>463</v>
      </c>
      <c r="D58" s="27"/>
    </row>
    <row r="59" spans="1:4" x14ac:dyDescent="0.3">
      <c r="A59" s="27">
        <v>15.2</v>
      </c>
      <c r="B59" s="27" t="s">
        <v>465</v>
      </c>
      <c r="D59" s="27"/>
    </row>
    <row r="60" spans="1:4" ht="31.2" x14ac:dyDescent="0.3">
      <c r="A60" s="27">
        <v>15.3</v>
      </c>
      <c r="B60" s="27" t="s">
        <v>467</v>
      </c>
      <c r="D60" s="27"/>
    </row>
    <row r="61" spans="1:4" ht="46.8" x14ac:dyDescent="0.3">
      <c r="A61" s="27">
        <v>15.4</v>
      </c>
      <c r="B61" s="27" t="s">
        <v>469</v>
      </c>
      <c r="D61" s="27"/>
    </row>
    <row r="62" spans="1:4" x14ac:dyDescent="0.3">
      <c r="A62" s="27">
        <v>15.5</v>
      </c>
      <c r="B62" s="59" t="s">
        <v>471</v>
      </c>
      <c r="D62" s="27"/>
    </row>
    <row r="63" spans="1:4" ht="62.4" x14ac:dyDescent="0.3">
      <c r="A63" s="27">
        <v>15.6</v>
      </c>
      <c r="B63" s="27" t="s">
        <v>473</v>
      </c>
      <c r="D63" s="27"/>
    </row>
    <row r="64" spans="1:4" ht="31.2" x14ac:dyDescent="0.3">
      <c r="A64" s="27">
        <v>15.7</v>
      </c>
      <c r="B64" s="27" t="s">
        <v>475</v>
      </c>
      <c r="D64" s="27"/>
    </row>
    <row r="65" spans="1:4" ht="46.8" x14ac:dyDescent="0.3">
      <c r="A65" s="27">
        <v>16.100000000000001</v>
      </c>
      <c r="B65" s="27" t="s">
        <v>477</v>
      </c>
      <c r="D65" s="27"/>
    </row>
    <row r="66" spans="1:4" ht="31.2" x14ac:dyDescent="0.3">
      <c r="A66" s="27">
        <v>16.2</v>
      </c>
      <c r="B66" s="27" t="s">
        <v>479</v>
      </c>
      <c r="D66" s="27"/>
    </row>
    <row r="67" spans="1:4" x14ac:dyDescent="0.3">
      <c r="A67" s="27">
        <v>16.3</v>
      </c>
      <c r="B67" s="27" t="s">
        <v>481</v>
      </c>
      <c r="D67" s="27"/>
    </row>
    <row r="68" spans="1:4" x14ac:dyDescent="0.3">
      <c r="A68" s="27">
        <v>16.399999999999999</v>
      </c>
      <c r="B68" s="27" t="s">
        <v>483</v>
      </c>
      <c r="D68" s="27"/>
    </row>
    <row r="69" spans="1:4" ht="31.2" x14ac:dyDescent="0.3">
      <c r="A69" s="27">
        <v>17.100000000000001</v>
      </c>
      <c r="B69" s="27" t="s">
        <v>485</v>
      </c>
      <c r="D69" s="27"/>
    </row>
    <row r="70" spans="1:4" ht="31.2" x14ac:dyDescent="0.3">
      <c r="A70" s="27">
        <v>17.2</v>
      </c>
      <c r="B70" s="27" t="s">
        <v>487</v>
      </c>
      <c r="D70" s="27"/>
    </row>
    <row r="71" spans="1:4" ht="31.2" x14ac:dyDescent="0.3">
      <c r="A71" s="27">
        <v>17.3</v>
      </c>
      <c r="B71" s="27" t="s">
        <v>489</v>
      </c>
      <c r="D71" s="27"/>
    </row>
    <row r="72" spans="1:4" x14ac:dyDescent="0.3">
      <c r="A72" s="27">
        <v>17.399999999999999</v>
      </c>
      <c r="B72" s="27" t="s">
        <v>491</v>
      </c>
      <c r="D72" s="27"/>
    </row>
    <row r="73" spans="1:4" ht="15.6" customHeight="1" x14ac:dyDescent="0.3">
      <c r="A73" s="27">
        <v>17.5</v>
      </c>
      <c r="B73" s="27" t="s">
        <v>493</v>
      </c>
      <c r="D73" s="27"/>
    </row>
    <row r="74" spans="1:4" ht="31.2" x14ac:dyDescent="0.3">
      <c r="A74" s="27">
        <v>18.100000000000001</v>
      </c>
      <c r="B74" s="27" t="s">
        <v>495</v>
      </c>
      <c r="D74" s="27"/>
    </row>
    <row r="75" spans="1:4" ht="31.2" x14ac:dyDescent="0.3">
      <c r="A75" s="27">
        <v>19.100000000000001</v>
      </c>
      <c r="B75" s="27" t="s">
        <v>497</v>
      </c>
      <c r="D75" s="27"/>
    </row>
    <row r="76" spans="1:4" ht="46.8" x14ac:dyDescent="0.3">
      <c r="A76" s="27">
        <v>19.2</v>
      </c>
      <c r="B76" s="27" t="s">
        <v>498</v>
      </c>
      <c r="D76" s="27"/>
    </row>
    <row r="77" spans="1:4" ht="31.2" x14ac:dyDescent="0.3">
      <c r="A77" s="27">
        <v>19.3</v>
      </c>
      <c r="B77" s="27" t="s">
        <v>499</v>
      </c>
      <c r="D77" s="27"/>
    </row>
    <row r="78" spans="1:4" x14ac:dyDescent="0.3">
      <c r="A78" s="27">
        <v>19.399999999999999</v>
      </c>
      <c r="B78" s="59" t="s">
        <v>502</v>
      </c>
      <c r="D78" s="27"/>
    </row>
    <row r="79" spans="1:4" ht="31.2" x14ac:dyDescent="0.3">
      <c r="A79" s="27">
        <v>19.5</v>
      </c>
      <c r="B79" s="27" t="s">
        <v>503</v>
      </c>
      <c r="D79" s="27"/>
    </row>
    <row r="80" spans="1:4" x14ac:dyDescent="0.3">
      <c r="A80" s="27">
        <v>19.600000000000001</v>
      </c>
      <c r="B80" s="27" t="s">
        <v>504</v>
      </c>
      <c r="D80" s="27"/>
    </row>
    <row r="81" spans="1:4" x14ac:dyDescent="0.3">
      <c r="A81" s="27">
        <v>19.7</v>
      </c>
      <c r="B81" s="27" t="s">
        <v>506</v>
      </c>
      <c r="D81" s="2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57EBB-3CDC-4AE6-ADF7-D128847A6B2D}">
  <sheetPr codeName="Sheet6"/>
  <dimension ref="A1:B81"/>
  <sheetViews>
    <sheetView topLeftCell="A42" workbookViewId="0">
      <selection activeCell="A51" sqref="A51:XFD51"/>
    </sheetView>
  </sheetViews>
  <sheetFormatPr defaultRowHeight="15.6" x14ac:dyDescent="0.3"/>
  <cols>
    <col min="2" max="2" width="138.8984375" customWidth="1"/>
  </cols>
  <sheetData>
    <row r="1" spans="1:2" x14ac:dyDescent="0.3">
      <c r="B1" t="s">
        <v>508</v>
      </c>
    </row>
    <row r="2" spans="1:2" ht="140.4" x14ac:dyDescent="0.3">
      <c r="A2" s="27">
        <v>1.1000000000000001</v>
      </c>
      <c r="B2" s="27" t="s">
        <v>352</v>
      </c>
    </row>
    <row r="3" spans="1:2" ht="31.2" x14ac:dyDescent="0.3">
      <c r="A3" s="27">
        <v>1.2</v>
      </c>
      <c r="B3" s="27" t="s">
        <v>354</v>
      </c>
    </row>
    <row r="4" spans="1:2" ht="46.8" x14ac:dyDescent="0.3">
      <c r="A4" s="27">
        <v>2.1</v>
      </c>
      <c r="B4" s="27" t="s">
        <v>356</v>
      </c>
    </row>
    <row r="5" spans="1:2" x14ac:dyDescent="0.3">
      <c r="A5" s="27">
        <v>2.2000000000000002</v>
      </c>
      <c r="B5" s="27" t="s">
        <v>358</v>
      </c>
    </row>
    <row r="6" spans="1:2" ht="62.4" x14ac:dyDescent="0.3">
      <c r="A6" s="27">
        <v>2.2999999999999998</v>
      </c>
      <c r="B6" s="27" t="s">
        <v>439</v>
      </c>
    </row>
    <row r="7" spans="1:2" ht="31.2" x14ac:dyDescent="0.3">
      <c r="A7" s="27">
        <v>2.4</v>
      </c>
      <c r="B7" s="27" t="s">
        <v>440</v>
      </c>
    </row>
    <row r="8" spans="1:2" ht="31.2" x14ac:dyDescent="0.3">
      <c r="A8" s="27">
        <v>2.5</v>
      </c>
      <c r="B8" s="27" t="s">
        <v>362</v>
      </c>
    </row>
    <row r="9" spans="1:2" ht="171.6" customHeight="1" x14ac:dyDescent="0.3">
      <c r="A9" s="27">
        <v>3.1</v>
      </c>
      <c r="B9" s="27" t="s">
        <v>441</v>
      </c>
    </row>
    <row r="10" spans="1:2" ht="46.8" x14ac:dyDescent="0.3">
      <c r="A10" s="27">
        <v>3.2</v>
      </c>
      <c r="B10" s="27" t="s">
        <v>365</v>
      </c>
    </row>
    <row r="11" spans="1:2" ht="46.8" x14ac:dyDescent="0.3">
      <c r="A11" s="27">
        <v>3.3</v>
      </c>
      <c r="B11" s="27" t="s">
        <v>367</v>
      </c>
    </row>
    <row r="12" spans="1:2" ht="62.4" x14ac:dyDescent="0.3">
      <c r="A12" s="27">
        <v>4.0999999999999996</v>
      </c>
      <c r="B12" s="27" t="s">
        <v>369</v>
      </c>
    </row>
    <row r="13" spans="1:2" ht="31.95" customHeight="1" x14ac:dyDescent="0.3">
      <c r="A13" s="27">
        <v>4.2</v>
      </c>
      <c r="B13" s="27" t="s">
        <v>371</v>
      </c>
    </row>
    <row r="14" spans="1:2" ht="46.8" x14ac:dyDescent="0.3">
      <c r="A14" s="27">
        <v>4.3</v>
      </c>
      <c r="B14" s="27" t="s">
        <v>373</v>
      </c>
    </row>
    <row r="15" spans="1:2" ht="31.2" x14ac:dyDescent="0.3">
      <c r="A15" s="27">
        <v>4.4000000000000004</v>
      </c>
      <c r="B15" s="27" t="s">
        <v>375</v>
      </c>
    </row>
    <row r="16" spans="1:2" ht="31.2" x14ac:dyDescent="0.3">
      <c r="A16" s="27">
        <v>4.5</v>
      </c>
      <c r="B16" s="27" t="s">
        <v>377</v>
      </c>
    </row>
    <row r="17" spans="1:2" ht="31.2" x14ac:dyDescent="0.3">
      <c r="A17" s="27">
        <v>4.5999999999999996</v>
      </c>
      <c r="B17" s="27" t="s">
        <v>379</v>
      </c>
    </row>
    <row r="18" spans="1:2" ht="62.4" x14ac:dyDescent="0.3">
      <c r="A18" s="27">
        <v>4.7</v>
      </c>
      <c r="B18" s="27" t="s">
        <v>442</v>
      </c>
    </row>
    <row r="19" spans="1:2" x14ac:dyDescent="0.3">
      <c r="A19" s="27">
        <v>4.8</v>
      </c>
      <c r="B19" s="27" t="s">
        <v>382</v>
      </c>
    </row>
    <row r="20" spans="1:2" ht="78" x14ac:dyDescent="0.3">
      <c r="A20" s="27">
        <v>5.0999999999999996</v>
      </c>
      <c r="B20" s="27" t="s">
        <v>385</v>
      </c>
    </row>
    <row r="21" spans="1:2" ht="62.4" x14ac:dyDescent="0.3">
      <c r="A21" s="27">
        <v>5.2</v>
      </c>
      <c r="B21" s="27" t="s">
        <v>386</v>
      </c>
    </row>
    <row r="22" spans="1:2" ht="109.95" customHeight="1" x14ac:dyDescent="0.3">
      <c r="A22" s="27">
        <v>5.3</v>
      </c>
      <c r="B22" s="27" t="s">
        <v>443</v>
      </c>
    </row>
    <row r="23" spans="1:2" ht="93.6" x14ac:dyDescent="0.3">
      <c r="A23" s="27">
        <v>5.4</v>
      </c>
      <c r="B23" s="27" t="s">
        <v>389</v>
      </c>
    </row>
    <row r="24" spans="1:2" ht="31.95" customHeight="1" x14ac:dyDescent="0.3">
      <c r="A24" s="27">
        <v>5.5</v>
      </c>
      <c r="B24" s="27" t="s">
        <v>444</v>
      </c>
    </row>
    <row r="25" spans="1:2" ht="46.95" customHeight="1" x14ac:dyDescent="0.3">
      <c r="A25" s="27">
        <v>5.6</v>
      </c>
      <c r="B25" s="27" t="s">
        <v>392</v>
      </c>
    </row>
    <row r="26" spans="1:2" ht="46.8" x14ac:dyDescent="0.3">
      <c r="A26" s="27">
        <v>5.7</v>
      </c>
      <c r="B26" s="27" t="s">
        <v>394</v>
      </c>
    </row>
    <row r="27" spans="1:2" ht="31.2" x14ac:dyDescent="0.3">
      <c r="A27" s="27">
        <v>5.8</v>
      </c>
      <c r="B27" s="27" t="s">
        <v>396</v>
      </c>
    </row>
    <row r="28" spans="1:2" ht="31.2" x14ac:dyDescent="0.3">
      <c r="A28" s="27">
        <v>5.9</v>
      </c>
      <c r="B28" s="27" t="s">
        <v>398</v>
      </c>
    </row>
    <row r="29" spans="1:2" ht="31.2" x14ac:dyDescent="0.3">
      <c r="A29" s="27">
        <v>6.1</v>
      </c>
      <c r="B29" s="27" t="s">
        <v>400</v>
      </c>
    </row>
    <row r="30" spans="1:2" x14ac:dyDescent="0.3">
      <c r="A30" s="27">
        <v>7.1</v>
      </c>
      <c r="B30" s="27" t="s">
        <v>403</v>
      </c>
    </row>
    <row r="31" spans="1:2" x14ac:dyDescent="0.3">
      <c r="A31" s="27">
        <v>7.2</v>
      </c>
      <c r="B31" s="27" t="s">
        <v>404</v>
      </c>
    </row>
    <row r="32" spans="1:2" ht="202.95" customHeight="1" x14ac:dyDescent="0.3">
      <c r="A32" s="27">
        <v>7.3</v>
      </c>
      <c r="B32" s="27" t="s">
        <v>406</v>
      </c>
    </row>
    <row r="33" spans="1:2" ht="46.8" x14ac:dyDescent="0.3">
      <c r="A33" s="27">
        <v>7.4</v>
      </c>
      <c r="B33" s="27" t="s">
        <v>408</v>
      </c>
    </row>
    <row r="34" spans="1:2" ht="31.95" customHeight="1" x14ac:dyDescent="0.3">
      <c r="A34" s="27">
        <v>8.1</v>
      </c>
      <c r="B34" s="27" t="s">
        <v>410</v>
      </c>
    </row>
    <row r="35" spans="1:2" ht="46.95" customHeight="1" x14ac:dyDescent="0.3">
      <c r="A35" s="27">
        <v>9.1</v>
      </c>
      <c r="B35" s="27" t="s">
        <v>412</v>
      </c>
    </row>
    <row r="36" spans="1:2" ht="31.95" customHeight="1" x14ac:dyDescent="0.3">
      <c r="A36" s="27">
        <v>10.1</v>
      </c>
      <c r="B36" s="27" t="s">
        <v>414</v>
      </c>
    </row>
    <row r="37" spans="1:2" ht="300" customHeight="1" x14ac:dyDescent="0.3">
      <c r="A37" s="27">
        <v>10.199999999999999</v>
      </c>
      <c r="B37" s="27" t="s">
        <v>416</v>
      </c>
    </row>
    <row r="38" spans="1:2" ht="62.4" x14ac:dyDescent="0.3">
      <c r="A38" s="27">
        <v>11.1</v>
      </c>
      <c r="B38" s="27" t="s">
        <v>418</v>
      </c>
    </row>
    <row r="39" spans="1:2" ht="46.8" x14ac:dyDescent="0.3">
      <c r="A39" s="27">
        <v>11.2</v>
      </c>
      <c r="B39" s="27" t="s">
        <v>420</v>
      </c>
    </row>
    <row r="40" spans="1:2" ht="31.2" x14ac:dyDescent="0.3">
      <c r="A40" s="27">
        <v>11.3</v>
      </c>
      <c r="B40" s="27" t="s">
        <v>422</v>
      </c>
    </row>
    <row r="41" spans="1:2" ht="62.4" x14ac:dyDescent="0.3">
      <c r="A41" s="27">
        <v>11.4</v>
      </c>
      <c r="B41" s="27" t="s">
        <v>424</v>
      </c>
    </row>
    <row r="42" spans="1:2" ht="31.95" customHeight="1" x14ac:dyDescent="0.3">
      <c r="A42" s="27">
        <v>11.5</v>
      </c>
      <c r="B42" s="27" t="s">
        <v>426</v>
      </c>
    </row>
    <row r="43" spans="1:2" ht="31.2" x14ac:dyDescent="0.3">
      <c r="A43" s="27">
        <v>12.1</v>
      </c>
      <c r="B43" s="27" t="s">
        <v>428</v>
      </c>
    </row>
    <row r="44" spans="1:2" ht="31.2" x14ac:dyDescent="0.3">
      <c r="A44" s="27">
        <v>12.2</v>
      </c>
      <c r="B44" s="27" t="s">
        <v>430</v>
      </c>
    </row>
    <row r="45" spans="1:2" ht="31.2" x14ac:dyDescent="0.3">
      <c r="A45" s="27">
        <v>12.3</v>
      </c>
      <c r="B45" s="27" t="s">
        <v>432</v>
      </c>
    </row>
    <row r="46" spans="1:2" ht="46.8" x14ac:dyDescent="0.3">
      <c r="A46" s="27">
        <v>12.4</v>
      </c>
      <c r="B46" s="27" t="s">
        <v>434</v>
      </c>
    </row>
    <row r="47" spans="1:2" x14ac:dyDescent="0.3">
      <c r="A47" s="27">
        <v>12.5</v>
      </c>
      <c r="B47" s="27" t="s">
        <v>436</v>
      </c>
    </row>
    <row r="48" spans="1:2" ht="31.2" x14ac:dyDescent="0.3">
      <c r="A48" s="27">
        <v>12.6</v>
      </c>
      <c r="B48" s="27" t="s">
        <v>438</v>
      </c>
    </row>
    <row r="49" spans="1:2" ht="78" x14ac:dyDescent="0.3">
      <c r="A49" s="27">
        <v>13.1</v>
      </c>
      <c r="B49" s="27" t="s">
        <v>446</v>
      </c>
    </row>
    <row r="50" spans="1:2" ht="62.4" x14ac:dyDescent="0.3">
      <c r="A50" s="27">
        <v>13.2</v>
      </c>
      <c r="B50" s="27" t="s">
        <v>448</v>
      </c>
    </row>
    <row r="51" spans="1:2" ht="140.4" customHeight="1" x14ac:dyDescent="0.3">
      <c r="A51" s="27">
        <v>13.3</v>
      </c>
      <c r="B51" s="27" t="s">
        <v>450</v>
      </c>
    </row>
    <row r="52" spans="1:2" ht="46.8" x14ac:dyDescent="0.3">
      <c r="A52" s="27">
        <v>14.1</v>
      </c>
      <c r="B52" s="27" t="s">
        <v>452</v>
      </c>
    </row>
    <row r="53" spans="1:2" ht="31.2" x14ac:dyDescent="0.3">
      <c r="A53" s="27">
        <v>14.2</v>
      </c>
      <c r="B53" s="27" t="s">
        <v>454</v>
      </c>
    </row>
    <row r="54" spans="1:2" ht="31.2" x14ac:dyDescent="0.3">
      <c r="A54" s="27">
        <v>14.3</v>
      </c>
      <c r="B54" s="27" t="s">
        <v>456</v>
      </c>
    </row>
    <row r="55" spans="1:2" ht="31.2" x14ac:dyDescent="0.3">
      <c r="A55" s="27">
        <v>14.4</v>
      </c>
      <c r="B55" s="27" t="s">
        <v>458</v>
      </c>
    </row>
    <row r="56" spans="1:2" x14ac:dyDescent="0.3">
      <c r="A56" s="27">
        <v>14.5</v>
      </c>
      <c r="B56" s="27" t="s">
        <v>460</v>
      </c>
    </row>
    <row r="57" spans="1:2" ht="31.2" x14ac:dyDescent="0.3">
      <c r="A57" s="27">
        <v>14.6</v>
      </c>
      <c r="B57" s="27" t="s">
        <v>462</v>
      </c>
    </row>
    <row r="58" spans="1:2" ht="78" x14ac:dyDescent="0.3">
      <c r="A58" s="27">
        <v>15.1</v>
      </c>
      <c r="B58" s="27" t="s">
        <v>464</v>
      </c>
    </row>
    <row r="59" spans="1:2" x14ac:dyDescent="0.3">
      <c r="A59" s="27">
        <v>15.2</v>
      </c>
      <c r="B59" s="27" t="s">
        <v>466</v>
      </c>
    </row>
    <row r="60" spans="1:2" ht="62.4" x14ac:dyDescent="0.3">
      <c r="A60" s="27">
        <v>15.3</v>
      </c>
      <c r="B60" s="27" t="s">
        <v>468</v>
      </c>
    </row>
    <row r="61" spans="1:2" ht="46.8" x14ac:dyDescent="0.3">
      <c r="A61" s="27">
        <v>15.4</v>
      </c>
      <c r="B61" s="27" t="s">
        <v>470</v>
      </c>
    </row>
    <row r="62" spans="1:2" x14ac:dyDescent="0.3">
      <c r="A62" s="27">
        <v>15.5</v>
      </c>
      <c r="B62" s="27" t="s">
        <v>472</v>
      </c>
    </row>
    <row r="63" spans="1:2" ht="31.2" x14ac:dyDescent="0.3">
      <c r="A63" s="27">
        <v>15.6</v>
      </c>
      <c r="B63" s="27" t="s">
        <v>474</v>
      </c>
    </row>
    <row r="64" spans="1:2" ht="31.2" x14ac:dyDescent="0.3">
      <c r="A64" s="27">
        <v>15.7</v>
      </c>
      <c r="B64" s="27" t="s">
        <v>476</v>
      </c>
    </row>
    <row r="65" spans="1:2" ht="31.2" x14ac:dyDescent="0.3">
      <c r="A65" s="27">
        <v>16.100000000000001</v>
      </c>
      <c r="B65" s="27" t="s">
        <v>478</v>
      </c>
    </row>
    <row r="66" spans="1:2" ht="31.2" x14ac:dyDescent="0.3">
      <c r="A66" s="27">
        <v>16.2</v>
      </c>
      <c r="B66" s="27" t="s">
        <v>480</v>
      </c>
    </row>
    <row r="67" spans="1:2" ht="31.2" x14ac:dyDescent="0.3">
      <c r="A67" s="27">
        <v>16.3</v>
      </c>
      <c r="B67" s="27" t="s">
        <v>482</v>
      </c>
    </row>
    <row r="68" spans="1:2" ht="31.2" x14ac:dyDescent="0.3">
      <c r="A68" s="27">
        <v>16.399999999999999</v>
      </c>
      <c r="B68" s="27" t="s">
        <v>484</v>
      </c>
    </row>
    <row r="69" spans="1:2" ht="31.2" x14ac:dyDescent="0.3">
      <c r="A69" s="27">
        <v>17.100000000000001</v>
      </c>
      <c r="B69" s="27" t="s">
        <v>486</v>
      </c>
    </row>
    <row r="70" spans="1:2" ht="31.2" x14ac:dyDescent="0.3">
      <c r="A70" s="27">
        <v>17.2</v>
      </c>
      <c r="B70" s="27" t="s">
        <v>488</v>
      </c>
    </row>
    <row r="71" spans="1:2" ht="31.2" x14ac:dyDescent="0.3">
      <c r="A71" s="27">
        <v>17.3</v>
      </c>
      <c r="B71" s="27" t="s">
        <v>490</v>
      </c>
    </row>
    <row r="72" spans="1:2" ht="78" x14ac:dyDescent="0.3">
      <c r="A72" s="27">
        <v>17.399999999999999</v>
      </c>
      <c r="B72" s="27" t="s">
        <v>492</v>
      </c>
    </row>
    <row r="73" spans="1:2" ht="109.2" x14ac:dyDescent="0.3">
      <c r="A73" s="27">
        <v>17.5</v>
      </c>
      <c r="B73" s="27" t="s">
        <v>494</v>
      </c>
    </row>
    <row r="74" spans="1:2" ht="31.2" x14ac:dyDescent="0.3">
      <c r="A74" s="27">
        <v>18.100000000000001</v>
      </c>
      <c r="B74" s="27" t="s">
        <v>496</v>
      </c>
    </row>
    <row r="75" spans="1:2" ht="46.8" x14ac:dyDescent="0.3">
      <c r="A75" s="27">
        <v>19.100000000000001</v>
      </c>
      <c r="B75" s="27" t="s">
        <v>501</v>
      </c>
    </row>
    <row r="76" spans="1:2" ht="62.4" x14ac:dyDescent="0.3">
      <c r="A76" s="27">
        <v>19.2</v>
      </c>
      <c r="B76" s="27" t="s">
        <v>500</v>
      </c>
    </row>
    <row r="77" spans="1:2" ht="31.2" x14ac:dyDescent="0.3">
      <c r="A77" s="27">
        <v>19.3</v>
      </c>
      <c r="B77" s="27" t="s">
        <v>499</v>
      </c>
    </row>
    <row r="78" spans="1:2" x14ac:dyDescent="0.3">
      <c r="A78" s="27">
        <v>19.399999999999999</v>
      </c>
      <c r="B78" s="59" t="s">
        <v>502</v>
      </c>
    </row>
    <row r="79" spans="1:2" ht="31.2" x14ac:dyDescent="0.3">
      <c r="A79" s="27">
        <v>19.5</v>
      </c>
      <c r="B79" s="27" t="s">
        <v>503</v>
      </c>
    </row>
    <row r="80" spans="1:2" x14ac:dyDescent="0.3">
      <c r="A80" s="27">
        <v>19.600000000000001</v>
      </c>
      <c r="B80" s="27" t="s">
        <v>505</v>
      </c>
    </row>
    <row r="81" spans="1:2" x14ac:dyDescent="0.3">
      <c r="A81" s="27">
        <v>19.7</v>
      </c>
      <c r="B81" s="27" t="s">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2239C-9B04-4E00-98E5-89C6A7AB6A41}">
  <sheetPr codeName="Sheet7"/>
  <dimension ref="JH1048576"/>
  <sheetViews>
    <sheetView topLeftCell="IL1048542" workbookViewId="0">
      <selection activeCell="JH1048576" sqref="JH1048576"/>
    </sheetView>
  </sheetViews>
  <sheetFormatPr defaultRowHeight="15.6" x14ac:dyDescent="0.3"/>
  <sheetData>
    <row r="1048576" spans="268:268" x14ac:dyDescent="0.3">
      <c r="JH1048576" t="s">
        <v>509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3BCDB0BFD65F74B9F93FF5F9EBAFD20" ma:contentTypeVersion="11" ma:contentTypeDescription="Create a new document." ma:contentTypeScope="" ma:versionID="f1715cc80a57039c802440f12b5d9c10">
  <xsd:schema xmlns:xsd="http://www.w3.org/2001/XMLSchema" xmlns:xs="http://www.w3.org/2001/XMLSchema" xmlns:p="http://schemas.microsoft.com/office/2006/metadata/properties" xmlns:ns2="a3a92cee-fde8-443a-b602-7ef4cc7999d4" targetNamespace="http://schemas.microsoft.com/office/2006/metadata/properties" ma:root="true" ma:fieldsID="0a0eea49fb83ecb02d0431c4200ee3d1" ns2:_="">
    <xsd:import namespace="a3a92cee-fde8-443a-b602-7ef4cc7999d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a92cee-fde8-443a-b602-7ef4cc7999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3629fc1-4fae-4e7a-bd28-cb0bd49a4d04"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3a92cee-fde8-443a-b602-7ef4cc7999d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8E32F6A-9A6B-4771-8EAF-EC7BA996B7A6}">
  <ds:schemaRefs>
    <ds:schemaRef ds:uri="http://schemas.microsoft.com/sharepoint/v3/contenttype/forms"/>
  </ds:schemaRefs>
</ds:datastoreItem>
</file>

<file path=customXml/itemProps2.xml><?xml version="1.0" encoding="utf-8"?>
<ds:datastoreItem xmlns:ds="http://schemas.openxmlformats.org/officeDocument/2006/customXml" ds:itemID="{71439008-8CD9-4714-B9A0-2DACCB5F63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a92cee-fde8-443a-b602-7ef4cc7999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BC987EC-BB42-402E-BAC6-702FF231A58B}">
  <ds:schemaRefs>
    <ds:schemaRef ds:uri="http://purl.org/dc/dcmitype/"/>
    <ds:schemaRef ds:uri="a3a92cee-fde8-443a-b602-7ef4cc7999d4"/>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Excel 4.0 Macros</vt:lpstr>
      </vt:variant>
      <vt:variant>
        <vt:i4>1</vt:i4>
      </vt:variant>
      <vt:variant>
        <vt:lpstr>Named Ranges</vt:lpstr>
      </vt:variant>
      <vt:variant>
        <vt:i4>1</vt:i4>
      </vt:variant>
    </vt:vector>
  </HeadingPairs>
  <TitlesOfParts>
    <vt:vector size="9" baseType="lpstr">
      <vt:lpstr>Front Sheet HHSRS Revision BSv1</vt:lpstr>
      <vt:lpstr>Hazard Data</vt:lpstr>
      <vt:lpstr>Helper Cells</vt:lpstr>
      <vt:lpstr>Relevant Matter Text</vt:lpstr>
      <vt:lpstr>Baseline Indicators</vt:lpstr>
      <vt:lpstr>Guidance Notes</vt:lpstr>
      <vt:lpstr>TBC</vt:lpstr>
      <vt:lpstr> </vt:lpstr>
      <vt:lpstr>'Front Sheet HHSRS Revision BSv1'!Print_Area</vt:lpstr>
    </vt:vector>
  </TitlesOfParts>
  <Manager/>
  <Company>East Suffolk Council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Baz Spooner</dc:creator>
  <cp:keywords/>
  <dc:description/>
  <cp:lastModifiedBy>Baz Spooner</cp:lastModifiedBy>
  <cp:revision/>
  <cp:lastPrinted>2026-05-22T04:22:07Z</cp:lastPrinted>
  <dcterms:created xsi:type="dcterms:W3CDTF">2026-03-31T10:29:55Z</dcterms:created>
  <dcterms:modified xsi:type="dcterms:W3CDTF">2026-06-03T12:37:45Z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0x01010013BCDB0BFD65F74B9F93FF5F9EBAFD20</vt:lpwstr>
  </property>
  <property fmtid="{D5CDD505-2E9C-101B-9397-08002B2CF9AE}" pid="3" name="MediaServiceImageTags">
    <vt:lpwstr/>
  </property>
</Properties>
</file>